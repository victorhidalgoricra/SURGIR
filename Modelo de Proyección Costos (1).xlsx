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472173\Downloads\"/>
    </mc:Choice>
  </mc:AlternateContent>
  <xr:revisionPtr revIDLastSave="0" documentId="13_ncr:1_{5DA02559-EB28-437C-81C6-96931ED1F011}" xr6:coauthVersionLast="47" xr6:coauthVersionMax="47" xr10:uidLastSave="{00000000-0000-0000-0000-000000000000}"/>
  <bookViews>
    <workbookView xWindow="-110" yWindow="-110" windowWidth="19420" windowHeight="11500" xr2:uid="{5FF29965-9FBF-4020-9921-6C1E1AFE66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1" l="1"/>
  <c r="L51" i="1"/>
  <c r="J51" i="1"/>
  <c r="N53" i="1"/>
  <c r="N52" i="1"/>
  <c r="J53" i="1"/>
  <c r="J52" i="1"/>
  <c r="P136" i="1"/>
  <c r="H136" i="1"/>
  <c r="G136" i="1"/>
  <c r="F133" i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F105" i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F77" i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P130" i="1"/>
  <c r="O130" i="1"/>
  <c r="O136" i="1" s="1"/>
  <c r="N130" i="1"/>
  <c r="N136" i="1" s="1"/>
  <c r="M130" i="1"/>
  <c r="M136" i="1" s="1"/>
  <c r="L130" i="1"/>
  <c r="L136" i="1" s="1"/>
  <c r="K130" i="1"/>
  <c r="K136" i="1" s="1"/>
  <c r="J130" i="1"/>
  <c r="J136" i="1" s="1"/>
  <c r="I130" i="1"/>
  <c r="I136" i="1" s="1"/>
  <c r="H130" i="1"/>
  <c r="G130" i="1"/>
  <c r="F130" i="1"/>
  <c r="F136" i="1" s="1"/>
  <c r="E130" i="1"/>
  <c r="E136" i="1" s="1"/>
  <c r="F113" i="1"/>
  <c r="P102" i="1"/>
  <c r="P108" i="1" s="1"/>
  <c r="O102" i="1"/>
  <c r="O108" i="1" s="1"/>
  <c r="N102" i="1"/>
  <c r="N108" i="1" s="1"/>
  <c r="M102" i="1"/>
  <c r="M108" i="1" s="1"/>
  <c r="L102" i="1"/>
  <c r="L108" i="1" s="1"/>
  <c r="K102" i="1"/>
  <c r="K108" i="1" s="1"/>
  <c r="J102" i="1"/>
  <c r="J108" i="1" s="1"/>
  <c r="I102" i="1"/>
  <c r="I108" i="1" s="1"/>
  <c r="H102" i="1"/>
  <c r="H108" i="1" s="1"/>
  <c r="G102" i="1"/>
  <c r="G108" i="1" s="1"/>
  <c r="F102" i="1"/>
  <c r="F108" i="1" s="1"/>
  <c r="E102" i="1"/>
  <c r="E108" i="1" s="1"/>
  <c r="F85" i="1"/>
  <c r="P74" i="1"/>
  <c r="P80" i="1" s="1"/>
  <c r="O74" i="1"/>
  <c r="O80" i="1" s="1"/>
  <c r="N74" i="1"/>
  <c r="N80" i="1" s="1"/>
  <c r="M74" i="1"/>
  <c r="M80" i="1" s="1"/>
  <c r="L74" i="1"/>
  <c r="L80" i="1" s="1"/>
  <c r="K74" i="1"/>
  <c r="K80" i="1" s="1"/>
  <c r="J74" i="1"/>
  <c r="J80" i="1" s="1"/>
  <c r="I74" i="1"/>
  <c r="I80" i="1" s="1"/>
  <c r="H74" i="1"/>
  <c r="H80" i="1" s="1"/>
  <c r="G74" i="1"/>
  <c r="G80" i="1" s="1"/>
  <c r="F74" i="1"/>
  <c r="F80" i="1" s="1"/>
  <c r="E74" i="1"/>
  <c r="E80" i="1" s="1"/>
  <c r="F57" i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I53" i="1"/>
  <c r="I52" i="1"/>
  <c r="I51" i="1"/>
  <c r="G53" i="1"/>
  <c r="G52" i="1"/>
  <c r="G51" i="1"/>
  <c r="F39" i="1"/>
  <c r="F38" i="1"/>
  <c r="F37" i="1"/>
  <c r="F36" i="1"/>
  <c r="F35" i="1"/>
  <c r="F30" i="1"/>
  <c r="F29" i="1"/>
  <c r="F28" i="1"/>
  <c r="F27" i="1"/>
  <c r="F26" i="1"/>
  <c r="F25" i="1"/>
  <c r="F24" i="1"/>
  <c r="H10" i="1"/>
  <c r="H12" i="1" s="1"/>
  <c r="H114" i="1" s="1"/>
  <c r="H115" i="1" l="1"/>
  <c r="H58" i="1"/>
  <c r="H67" i="1"/>
  <c r="H86" i="1"/>
  <c r="H95" i="1"/>
  <c r="H123" i="1"/>
  <c r="H124" i="1" s="1"/>
  <c r="G113" i="1"/>
  <c r="G85" i="1"/>
  <c r="I10" i="1"/>
  <c r="H125" i="1" l="1"/>
  <c r="H126" i="1" s="1"/>
  <c r="H116" i="1"/>
  <c r="H117" i="1" s="1"/>
  <c r="H96" i="1"/>
  <c r="H87" i="1"/>
  <c r="H103" i="1"/>
  <c r="H68" i="1"/>
  <c r="H75" i="1"/>
  <c r="H131" i="1"/>
  <c r="H113" i="1"/>
  <c r="H85" i="1"/>
  <c r="J10" i="1"/>
  <c r="I12" i="1"/>
  <c r="H127" i="1" l="1"/>
  <c r="H128" i="1" s="1"/>
  <c r="H129" i="1" s="1"/>
  <c r="H135" i="1" s="1"/>
  <c r="H88" i="1"/>
  <c r="H89" i="1" s="1"/>
  <c r="H97" i="1"/>
  <c r="H98" i="1" s="1"/>
  <c r="H69" i="1"/>
  <c r="H118" i="1"/>
  <c r="H119" i="1" s="1"/>
  <c r="I114" i="1"/>
  <c r="I123" i="1"/>
  <c r="I95" i="1"/>
  <c r="I67" i="1"/>
  <c r="I86" i="1"/>
  <c r="I58" i="1"/>
  <c r="H59" i="1"/>
  <c r="H60" i="1" s="1"/>
  <c r="H61" i="1" s="1"/>
  <c r="H99" i="1"/>
  <c r="H100" i="1" s="1"/>
  <c r="H101" i="1" s="1"/>
  <c r="I113" i="1"/>
  <c r="I85" i="1"/>
  <c r="K10" i="1"/>
  <c r="J12" i="1"/>
  <c r="H90" i="1" l="1"/>
  <c r="H91" i="1" s="1"/>
  <c r="H107" i="1"/>
  <c r="H70" i="1"/>
  <c r="H71" i="1" s="1"/>
  <c r="H72" i="1" s="1"/>
  <c r="H73" i="1" s="1"/>
  <c r="I87" i="1"/>
  <c r="I103" i="1"/>
  <c r="I68" i="1"/>
  <c r="H62" i="1"/>
  <c r="H63" i="1" s="1"/>
  <c r="I96" i="1"/>
  <c r="I124" i="1"/>
  <c r="I115" i="1"/>
  <c r="I131" i="1"/>
  <c r="H120" i="1"/>
  <c r="J123" i="1"/>
  <c r="J95" i="1"/>
  <c r="J67" i="1"/>
  <c r="J86" i="1"/>
  <c r="J58" i="1"/>
  <c r="J114" i="1"/>
  <c r="I75" i="1"/>
  <c r="J113" i="1"/>
  <c r="J85" i="1"/>
  <c r="L10" i="1"/>
  <c r="K12" i="1"/>
  <c r="H92" i="1" l="1"/>
  <c r="H93" i="1" s="1"/>
  <c r="H94" i="1" s="1"/>
  <c r="I116" i="1"/>
  <c r="I117" i="1" s="1"/>
  <c r="I118" i="1" s="1"/>
  <c r="I125" i="1"/>
  <c r="I126" i="1" s="1"/>
  <c r="I127" i="1" s="1"/>
  <c r="I97" i="1"/>
  <c r="I98" i="1" s="1"/>
  <c r="I99" i="1" s="1"/>
  <c r="I88" i="1"/>
  <c r="I89" i="1" s="1"/>
  <c r="H79" i="1"/>
  <c r="I69" i="1"/>
  <c r="I70" i="1" s="1"/>
  <c r="I71" i="1" s="1"/>
  <c r="I72" i="1" s="1"/>
  <c r="I73" i="1" s="1"/>
  <c r="J75" i="1"/>
  <c r="J59" i="1" s="1"/>
  <c r="J115" i="1"/>
  <c r="J131" i="1"/>
  <c r="J103" i="1"/>
  <c r="J87" i="1"/>
  <c r="I59" i="1"/>
  <c r="I60" i="1" s="1"/>
  <c r="J68" i="1"/>
  <c r="J124" i="1"/>
  <c r="H121" i="1"/>
  <c r="H122" i="1" s="1"/>
  <c r="H134" i="1" s="1"/>
  <c r="H137" i="1" s="1"/>
  <c r="J96" i="1"/>
  <c r="K123" i="1"/>
  <c r="K95" i="1"/>
  <c r="K67" i="1"/>
  <c r="K86" i="1"/>
  <c r="K58" i="1"/>
  <c r="K114" i="1"/>
  <c r="H64" i="1"/>
  <c r="K113" i="1"/>
  <c r="K85" i="1"/>
  <c r="M10" i="1"/>
  <c r="L12" i="1"/>
  <c r="I119" i="1" l="1"/>
  <c r="I120" i="1" s="1"/>
  <c r="H106" i="1"/>
  <c r="H109" i="1" s="1"/>
  <c r="J125" i="1"/>
  <c r="J126" i="1" s="1"/>
  <c r="J97" i="1"/>
  <c r="J88" i="1"/>
  <c r="J89" i="1" s="1"/>
  <c r="I79" i="1"/>
  <c r="J60" i="1"/>
  <c r="J61" i="1" s="1"/>
  <c r="J62" i="1" s="1"/>
  <c r="J69" i="1"/>
  <c r="I61" i="1"/>
  <c r="I62" i="1" s="1"/>
  <c r="I63" i="1" s="1"/>
  <c r="I64" i="1" s="1"/>
  <c r="I65" i="1" s="1"/>
  <c r="K124" i="1"/>
  <c r="K96" i="1"/>
  <c r="H65" i="1"/>
  <c r="K75" i="1"/>
  <c r="I100" i="1"/>
  <c r="I101" i="1" s="1"/>
  <c r="J116" i="1"/>
  <c r="J98" i="1"/>
  <c r="K68" i="1"/>
  <c r="K69" i="1" s="1"/>
  <c r="I90" i="1"/>
  <c r="I91" i="1" s="1"/>
  <c r="L95" i="1"/>
  <c r="L67" i="1"/>
  <c r="L86" i="1"/>
  <c r="L58" i="1"/>
  <c r="L123" i="1"/>
  <c r="L114" i="1"/>
  <c r="K115" i="1"/>
  <c r="K131" i="1"/>
  <c r="K103" i="1"/>
  <c r="K87" i="1"/>
  <c r="I128" i="1"/>
  <c r="I129" i="1" s="1"/>
  <c r="L113" i="1"/>
  <c r="L85" i="1"/>
  <c r="N10" i="1"/>
  <c r="M12" i="1"/>
  <c r="J127" i="1" l="1"/>
  <c r="J128" i="1" s="1"/>
  <c r="I121" i="1"/>
  <c r="I122" i="1" s="1"/>
  <c r="I134" i="1" s="1"/>
  <c r="K125" i="1"/>
  <c r="K116" i="1"/>
  <c r="K117" i="1" s="1"/>
  <c r="I135" i="1"/>
  <c r="J90" i="1"/>
  <c r="J91" i="1" s="1"/>
  <c r="K88" i="1"/>
  <c r="K89" i="1" s="1"/>
  <c r="I107" i="1"/>
  <c r="K97" i="1"/>
  <c r="K98" i="1" s="1"/>
  <c r="K99" i="1" s="1"/>
  <c r="K100" i="1" s="1"/>
  <c r="K101" i="1" s="1"/>
  <c r="J63" i="1"/>
  <c r="J64" i="1" s="1"/>
  <c r="J70" i="1"/>
  <c r="J71" i="1" s="1"/>
  <c r="J72" i="1" s="1"/>
  <c r="L75" i="1"/>
  <c r="L59" i="1" s="1"/>
  <c r="I66" i="1"/>
  <c r="I78" i="1" s="1"/>
  <c r="I81" i="1" s="1"/>
  <c r="J99" i="1"/>
  <c r="J100" i="1" s="1"/>
  <c r="M67" i="1"/>
  <c r="M86" i="1"/>
  <c r="M58" i="1"/>
  <c r="M114" i="1"/>
  <c r="M123" i="1"/>
  <c r="M95" i="1"/>
  <c r="K126" i="1"/>
  <c r="K127" i="1" s="1"/>
  <c r="L103" i="1"/>
  <c r="L87" i="1"/>
  <c r="K70" i="1"/>
  <c r="K71" i="1" s="1"/>
  <c r="K72" i="1" s="1"/>
  <c r="K59" i="1"/>
  <c r="L96" i="1"/>
  <c r="L68" i="1"/>
  <c r="H66" i="1"/>
  <c r="H78" i="1" s="1"/>
  <c r="H81" i="1" s="1"/>
  <c r="I92" i="1"/>
  <c r="L124" i="1"/>
  <c r="J117" i="1"/>
  <c r="L131" i="1"/>
  <c r="L115" i="1"/>
  <c r="M113" i="1"/>
  <c r="M85" i="1"/>
  <c r="O10" i="1"/>
  <c r="N12" i="1"/>
  <c r="J129" i="1" l="1"/>
  <c r="J135" i="1" s="1"/>
  <c r="K118" i="1"/>
  <c r="L116" i="1"/>
  <c r="L117" i="1" s="1"/>
  <c r="L118" i="1" s="1"/>
  <c r="J92" i="1"/>
  <c r="J93" i="1" s="1"/>
  <c r="J94" i="1" s="1"/>
  <c r="I137" i="1"/>
  <c r="L125" i="1"/>
  <c r="L126" i="1" s="1"/>
  <c r="L127" i="1" s="1"/>
  <c r="I93" i="1"/>
  <c r="I94" i="1" s="1"/>
  <c r="I106" i="1" s="1"/>
  <c r="I109" i="1" s="1"/>
  <c r="K107" i="1"/>
  <c r="L97" i="1"/>
  <c r="L98" i="1" s="1"/>
  <c r="L88" i="1"/>
  <c r="L89" i="1" s="1"/>
  <c r="J65" i="1"/>
  <c r="J66" i="1" s="1"/>
  <c r="J78" i="1" s="1"/>
  <c r="K128" i="1"/>
  <c r="K129" i="1" s="1"/>
  <c r="L69" i="1"/>
  <c r="L70" i="1" s="1"/>
  <c r="L71" i="1" s="1"/>
  <c r="L72" i="1" s="1"/>
  <c r="L73" i="1" s="1"/>
  <c r="J101" i="1"/>
  <c r="J107" i="1" s="1"/>
  <c r="M103" i="1"/>
  <c r="M87" i="1"/>
  <c r="J73" i="1"/>
  <c r="J79" i="1" s="1"/>
  <c r="M68" i="1"/>
  <c r="J118" i="1"/>
  <c r="K90" i="1"/>
  <c r="K91" i="1" s="1"/>
  <c r="K92" i="1" s="1"/>
  <c r="K60" i="1"/>
  <c r="K73" i="1"/>
  <c r="K79" i="1" s="1"/>
  <c r="L60" i="1"/>
  <c r="M96" i="1"/>
  <c r="M124" i="1"/>
  <c r="M131" i="1"/>
  <c r="M115" i="1"/>
  <c r="M75" i="1"/>
  <c r="N67" i="1"/>
  <c r="N86" i="1"/>
  <c r="N58" i="1"/>
  <c r="N114" i="1"/>
  <c r="N123" i="1"/>
  <c r="N95" i="1"/>
  <c r="K119" i="1"/>
  <c r="K120" i="1" s="1"/>
  <c r="K121" i="1" s="1"/>
  <c r="N113" i="1"/>
  <c r="N85" i="1"/>
  <c r="P10" i="1"/>
  <c r="P12" i="1" s="1"/>
  <c r="O12" i="1"/>
  <c r="M125" i="1" l="1"/>
  <c r="M126" i="1" s="1"/>
  <c r="M116" i="1"/>
  <c r="J106" i="1"/>
  <c r="J109" i="1" s="1"/>
  <c r="K135" i="1"/>
  <c r="L90" i="1"/>
  <c r="L91" i="1" s="1"/>
  <c r="L92" i="1" s="1"/>
  <c r="L93" i="1" s="1"/>
  <c r="L94" i="1" s="1"/>
  <c r="M88" i="1"/>
  <c r="M89" i="1" s="1"/>
  <c r="M90" i="1" s="1"/>
  <c r="M97" i="1"/>
  <c r="M98" i="1" s="1"/>
  <c r="M99" i="1" s="1"/>
  <c r="J81" i="1"/>
  <c r="L128" i="1"/>
  <c r="L129" i="1" s="1"/>
  <c r="L79" i="1"/>
  <c r="M69" i="1"/>
  <c r="M70" i="1" s="1"/>
  <c r="M71" i="1" s="1"/>
  <c r="M72" i="1" s="1"/>
  <c r="M73" i="1" s="1"/>
  <c r="L119" i="1"/>
  <c r="L120" i="1" s="1"/>
  <c r="N75" i="1"/>
  <c r="N59" i="1" s="1"/>
  <c r="M117" i="1"/>
  <c r="M118" i="1" s="1"/>
  <c r="N103" i="1"/>
  <c r="N87" i="1"/>
  <c r="L61" i="1"/>
  <c r="L62" i="1" s="1"/>
  <c r="N68" i="1"/>
  <c r="O67" i="1"/>
  <c r="O86" i="1"/>
  <c r="O58" i="1"/>
  <c r="O114" i="1"/>
  <c r="O123" i="1"/>
  <c r="O95" i="1"/>
  <c r="M59" i="1"/>
  <c r="L99" i="1"/>
  <c r="L100" i="1" s="1"/>
  <c r="N131" i="1"/>
  <c r="N115" i="1"/>
  <c r="P58" i="1"/>
  <c r="P67" i="1"/>
  <c r="P114" i="1"/>
  <c r="P123" i="1"/>
  <c r="P95" i="1"/>
  <c r="P86" i="1"/>
  <c r="J119" i="1"/>
  <c r="J120" i="1" s="1"/>
  <c r="J121" i="1" s="1"/>
  <c r="J122" i="1" s="1"/>
  <c r="J134" i="1" s="1"/>
  <c r="J137" i="1" s="1"/>
  <c r="K122" i="1"/>
  <c r="K134" i="1" s="1"/>
  <c r="K137" i="1" s="1"/>
  <c r="N96" i="1"/>
  <c r="K93" i="1"/>
  <c r="K94" i="1" s="1"/>
  <c r="N124" i="1"/>
  <c r="K61" i="1"/>
  <c r="O113" i="1"/>
  <c r="O85" i="1"/>
  <c r="O75" i="1" l="1"/>
  <c r="L135" i="1"/>
  <c r="N125" i="1"/>
  <c r="N126" i="1" s="1"/>
  <c r="N116" i="1"/>
  <c r="N117" i="1" s="1"/>
  <c r="M119" i="1"/>
  <c r="M120" i="1" s="1"/>
  <c r="K106" i="1"/>
  <c r="K109" i="1" s="1"/>
  <c r="N88" i="1"/>
  <c r="N89" i="1" s="1"/>
  <c r="N97" i="1"/>
  <c r="N98" i="1" s="1"/>
  <c r="N99" i="1" s="1"/>
  <c r="M100" i="1"/>
  <c r="M101" i="1" s="1"/>
  <c r="L106" i="1"/>
  <c r="L121" i="1"/>
  <c r="M60" i="1"/>
  <c r="M61" i="1" s="1"/>
  <c r="M62" i="1" s="1"/>
  <c r="M91" i="1"/>
  <c r="M79" i="1"/>
  <c r="N69" i="1"/>
  <c r="N70" i="1" s="1"/>
  <c r="P75" i="1"/>
  <c r="P59" i="1" s="1"/>
  <c r="L101" i="1"/>
  <c r="L107" i="1" s="1"/>
  <c r="M127" i="1"/>
  <c r="M128" i="1" s="1"/>
  <c r="M129" i="1" s="1"/>
  <c r="O124" i="1"/>
  <c r="N60" i="1"/>
  <c r="N61" i="1" s="1"/>
  <c r="O131" i="1"/>
  <c r="O115" i="1"/>
  <c r="N118" i="1"/>
  <c r="N119" i="1" s="1"/>
  <c r="N120" i="1" s="1"/>
  <c r="N121" i="1" s="1"/>
  <c r="O59" i="1"/>
  <c r="O96" i="1"/>
  <c r="N127" i="1"/>
  <c r="N128" i="1" s="1"/>
  <c r="N129" i="1" s="1"/>
  <c r="L63" i="1"/>
  <c r="L64" i="1" s="1"/>
  <c r="P103" i="1"/>
  <c r="P87" i="1"/>
  <c r="P96" i="1"/>
  <c r="O103" i="1"/>
  <c r="O87" i="1"/>
  <c r="P124" i="1"/>
  <c r="O68" i="1"/>
  <c r="P115" i="1"/>
  <c r="P131" i="1"/>
  <c r="P68" i="1"/>
  <c r="K62" i="1"/>
  <c r="P113" i="1"/>
  <c r="P85" i="1"/>
  <c r="M121" i="1" l="1"/>
  <c r="M122" i="1" s="1"/>
  <c r="P116" i="1"/>
  <c r="P117" i="1" s="1"/>
  <c r="P118" i="1" s="1"/>
  <c r="P119" i="1" s="1"/>
  <c r="N135" i="1"/>
  <c r="O125" i="1"/>
  <c r="O126" i="1" s="1"/>
  <c r="L122" i="1"/>
  <c r="L134" i="1" s="1"/>
  <c r="L137" i="1" s="1"/>
  <c r="M135" i="1"/>
  <c r="M92" i="1"/>
  <c r="M93" i="1" s="1"/>
  <c r="M94" i="1" s="1"/>
  <c r="L109" i="1"/>
  <c r="O88" i="1"/>
  <c r="O89" i="1" s="1"/>
  <c r="P97" i="1"/>
  <c r="P98" i="1" s="1"/>
  <c r="P88" i="1"/>
  <c r="P89" i="1" s="1"/>
  <c r="M107" i="1"/>
  <c r="O97" i="1"/>
  <c r="O98" i="1" s="1"/>
  <c r="M63" i="1"/>
  <c r="M64" i="1" s="1"/>
  <c r="M65" i="1" s="1"/>
  <c r="M66" i="1" s="1"/>
  <c r="M78" i="1" s="1"/>
  <c r="M81" i="1" s="1"/>
  <c r="P60" i="1"/>
  <c r="P61" i="1" s="1"/>
  <c r="N71" i="1"/>
  <c r="N72" i="1" s="1"/>
  <c r="N73" i="1" s="1"/>
  <c r="O60" i="1"/>
  <c r="O61" i="1" s="1"/>
  <c r="O62" i="1" s="1"/>
  <c r="N122" i="1"/>
  <c r="N134" i="1" s="1"/>
  <c r="N137" i="1" s="1"/>
  <c r="O99" i="1"/>
  <c r="O100" i="1" s="1"/>
  <c r="O101" i="1" s="1"/>
  <c r="N100" i="1"/>
  <c r="N101" i="1" s="1"/>
  <c r="N107" i="1" s="1"/>
  <c r="N90" i="1"/>
  <c r="N91" i="1" s="1"/>
  <c r="L65" i="1"/>
  <c r="P69" i="1"/>
  <c r="P70" i="1" s="1"/>
  <c r="P125" i="1"/>
  <c r="P126" i="1" s="1"/>
  <c r="O69" i="1"/>
  <c r="O116" i="1"/>
  <c r="N62" i="1"/>
  <c r="K63" i="1"/>
  <c r="O127" i="1" l="1"/>
  <c r="M134" i="1"/>
  <c r="M137" i="1" s="1"/>
  <c r="O107" i="1"/>
  <c r="P99" i="1"/>
  <c r="P100" i="1" s="1"/>
  <c r="P101" i="1" s="1"/>
  <c r="P107" i="1" s="1"/>
  <c r="M106" i="1"/>
  <c r="M109" i="1" s="1"/>
  <c r="P90" i="1"/>
  <c r="N79" i="1"/>
  <c r="O63" i="1"/>
  <c r="O64" i="1" s="1"/>
  <c r="O65" i="1" s="1"/>
  <c r="O66" i="1" s="1"/>
  <c r="P120" i="1"/>
  <c r="P121" i="1" s="1"/>
  <c r="P122" i="1" s="1"/>
  <c r="P71" i="1"/>
  <c r="P72" i="1" s="1"/>
  <c r="P73" i="1" s="1"/>
  <c r="O90" i="1"/>
  <c r="P127" i="1"/>
  <c r="O128" i="1"/>
  <c r="O129" i="1" s="1"/>
  <c r="P62" i="1"/>
  <c r="P63" i="1" s="1"/>
  <c r="O70" i="1"/>
  <c r="O117" i="1"/>
  <c r="L66" i="1"/>
  <c r="L78" i="1" s="1"/>
  <c r="L81" i="1" s="1"/>
  <c r="K64" i="1"/>
  <c r="N92" i="1"/>
  <c r="N93" i="1" s="1"/>
  <c r="N63" i="1"/>
  <c r="O135" i="1" l="1"/>
  <c r="O118" i="1"/>
  <c r="P134" i="1"/>
  <c r="P128" i="1"/>
  <c r="P129" i="1" s="1"/>
  <c r="P135" i="1" s="1"/>
  <c r="P91" i="1"/>
  <c r="P92" i="1" s="1"/>
  <c r="P93" i="1" s="1"/>
  <c r="P94" i="1" s="1"/>
  <c r="N94" i="1"/>
  <c r="N106" i="1" s="1"/>
  <c r="N109" i="1" s="1"/>
  <c r="P79" i="1"/>
  <c r="O78" i="1"/>
  <c r="O91" i="1"/>
  <c r="O92" i="1" s="1"/>
  <c r="O93" i="1" s="1"/>
  <c r="O94" i="1" s="1"/>
  <c r="O106" i="1" s="1"/>
  <c r="O109" i="1" s="1"/>
  <c r="N64" i="1"/>
  <c r="K65" i="1"/>
  <c r="O71" i="1"/>
  <c r="P64" i="1"/>
  <c r="O119" i="1"/>
  <c r="P106" i="1" l="1"/>
  <c r="P109" i="1" s="1"/>
  <c r="P137" i="1"/>
  <c r="O120" i="1"/>
  <c r="O121" i="1" s="1"/>
  <c r="K66" i="1"/>
  <c r="K78" i="1" s="1"/>
  <c r="K81" i="1" s="1"/>
  <c r="N65" i="1"/>
  <c r="N66" i="1" s="1"/>
  <c r="N78" i="1" s="1"/>
  <c r="N81" i="1" s="1"/>
  <c r="P65" i="1"/>
  <c r="P66" i="1" s="1"/>
  <c r="P78" i="1" s="1"/>
  <c r="P81" i="1" s="1"/>
  <c r="O72" i="1"/>
  <c r="O73" i="1" s="1"/>
  <c r="O79" i="1" s="1"/>
  <c r="O81" i="1" s="1"/>
  <c r="O122" i="1" l="1"/>
  <c r="O134" i="1" s="1"/>
  <c r="O137" i="1" s="1"/>
  <c r="G12" i="1" l="1"/>
  <c r="F12" i="1"/>
  <c r="E12" i="1"/>
  <c r="F9" i="1"/>
  <c r="G9" i="1" s="1"/>
  <c r="H9" i="1" s="1"/>
  <c r="I9" i="1" s="1"/>
  <c r="J9" i="1" s="1"/>
  <c r="K9" i="1" s="1"/>
  <c r="L9" i="1" s="1"/>
  <c r="M9" i="1" s="1"/>
  <c r="N9" i="1" s="1"/>
  <c r="O9" i="1" s="1"/>
  <c r="P9" i="1" s="1"/>
  <c r="E67" i="1" l="1"/>
  <c r="E58" i="1"/>
  <c r="E114" i="1"/>
  <c r="E95" i="1"/>
  <c r="E123" i="1"/>
  <c r="E86" i="1"/>
  <c r="F58" i="1"/>
  <c r="F114" i="1"/>
  <c r="F123" i="1"/>
  <c r="F95" i="1"/>
  <c r="F67" i="1"/>
  <c r="F86" i="1"/>
  <c r="G114" i="1"/>
  <c r="G123" i="1"/>
  <c r="G95" i="1"/>
  <c r="G67" i="1"/>
  <c r="G86" i="1"/>
  <c r="G58" i="1"/>
  <c r="G75" i="1" s="1"/>
  <c r="F96" i="1" l="1"/>
  <c r="F124" i="1"/>
  <c r="G59" i="1"/>
  <c r="F131" i="1"/>
  <c r="F115" i="1"/>
  <c r="G87" i="1"/>
  <c r="G103" i="1"/>
  <c r="F75" i="1"/>
  <c r="G68" i="1"/>
  <c r="E103" i="1"/>
  <c r="E87" i="1"/>
  <c r="G96" i="1"/>
  <c r="G124" i="1"/>
  <c r="E124" i="1"/>
  <c r="G115" i="1"/>
  <c r="G131" i="1"/>
  <c r="E96" i="1"/>
  <c r="E131" i="1"/>
  <c r="E115" i="1"/>
  <c r="F87" i="1"/>
  <c r="F103" i="1"/>
  <c r="E75" i="1"/>
  <c r="E59" i="1"/>
  <c r="F68" i="1"/>
  <c r="E68" i="1"/>
  <c r="E116" i="1" l="1"/>
  <c r="F116" i="1"/>
  <c r="G116" i="1"/>
  <c r="G117" i="1" s="1"/>
  <c r="E125" i="1"/>
  <c r="E126" i="1" s="1"/>
  <c r="E127" i="1" s="1"/>
  <c r="E128" i="1" s="1"/>
  <c r="E129" i="1" s="1"/>
  <c r="F125" i="1"/>
  <c r="F126" i="1" s="1"/>
  <c r="G125" i="1"/>
  <c r="G126" i="1" s="1"/>
  <c r="G127" i="1" s="1"/>
  <c r="G128" i="1" s="1"/>
  <c r="G129" i="1" s="1"/>
  <c r="G97" i="1"/>
  <c r="G98" i="1" s="1"/>
  <c r="E88" i="1"/>
  <c r="E89" i="1" s="1"/>
  <c r="G88" i="1"/>
  <c r="G89" i="1" s="1"/>
  <c r="G90" i="1" s="1"/>
  <c r="E97" i="1"/>
  <c r="E98" i="1" s="1"/>
  <c r="F97" i="1"/>
  <c r="F98" i="1" s="1"/>
  <c r="F99" i="1" s="1"/>
  <c r="G69" i="1"/>
  <c r="G70" i="1" s="1"/>
  <c r="E69" i="1"/>
  <c r="E70" i="1" s="1"/>
  <c r="E71" i="1" s="1"/>
  <c r="E72" i="1" s="1"/>
  <c r="E60" i="1"/>
  <c r="E61" i="1" s="1"/>
  <c r="F69" i="1"/>
  <c r="F70" i="1" s="1"/>
  <c r="E117" i="1"/>
  <c r="E118" i="1" s="1"/>
  <c r="G118" i="1"/>
  <c r="G119" i="1" s="1"/>
  <c r="F59" i="1"/>
  <c r="F117" i="1"/>
  <c r="G60" i="1"/>
  <c r="F88" i="1"/>
  <c r="F127" i="1" l="1"/>
  <c r="F128" i="1" s="1"/>
  <c r="G135" i="1"/>
  <c r="E135" i="1"/>
  <c r="E99" i="1"/>
  <c r="E90" i="1"/>
  <c r="F100" i="1"/>
  <c r="G71" i="1"/>
  <c r="G72" i="1" s="1"/>
  <c r="G73" i="1" s="1"/>
  <c r="F129" i="1"/>
  <c r="F135" i="1" s="1"/>
  <c r="E100" i="1"/>
  <c r="E73" i="1"/>
  <c r="E79" i="1" s="1"/>
  <c r="E62" i="1"/>
  <c r="E63" i="1" s="1"/>
  <c r="E64" i="1" s="1"/>
  <c r="E65" i="1" s="1"/>
  <c r="E66" i="1" s="1"/>
  <c r="F71" i="1"/>
  <c r="F72" i="1" s="1"/>
  <c r="E119" i="1"/>
  <c r="E120" i="1" s="1"/>
  <c r="G91" i="1"/>
  <c r="G92" i="1" s="1"/>
  <c r="G93" i="1" s="1"/>
  <c r="G94" i="1" s="1"/>
  <c r="G61" i="1"/>
  <c r="G62" i="1" s="1"/>
  <c r="G63" i="1" s="1"/>
  <c r="G64" i="1" s="1"/>
  <c r="F118" i="1"/>
  <c r="F119" i="1" s="1"/>
  <c r="G120" i="1"/>
  <c r="F60" i="1"/>
  <c r="G99" i="1"/>
  <c r="F89" i="1"/>
  <c r="E101" i="1" l="1"/>
  <c r="E107" i="1" s="1"/>
  <c r="F101" i="1"/>
  <c r="F107" i="1" s="1"/>
  <c r="E91" i="1"/>
  <c r="E92" i="1" s="1"/>
  <c r="G106" i="1"/>
  <c r="G100" i="1"/>
  <c r="G101" i="1" s="1"/>
  <c r="G107" i="1" s="1"/>
  <c r="E78" i="1"/>
  <c r="E81" i="1" s="1"/>
  <c r="G79" i="1"/>
  <c r="E121" i="1"/>
  <c r="E122" i="1" s="1"/>
  <c r="F120" i="1"/>
  <c r="F121" i="1" s="1"/>
  <c r="F122" i="1" s="1"/>
  <c r="G65" i="1"/>
  <c r="G66" i="1" s="1"/>
  <c r="G78" i="1" s="1"/>
  <c r="F73" i="1"/>
  <c r="F79" i="1" s="1"/>
  <c r="F61" i="1"/>
  <c r="G121" i="1"/>
  <c r="G122" i="1" s="1"/>
  <c r="F90" i="1"/>
  <c r="F91" i="1" s="1"/>
  <c r="F134" i="1" l="1"/>
  <c r="F137" i="1" s="1"/>
  <c r="E134" i="1"/>
  <c r="E137" i="1" s="1"/>
  <c r="G81" i="1"/>
  <c r="G134" i="1"/>
  <c r="G137" i="1" s="1"/>
  <c r="G109" i="1"/>
  <c r="E93" i="1"/>
  <c r="E94" i="1" s="1"/>
  <c r="F92" i="1"/>
  <c r="F93" i="1" s="1"/>
  <c r="F94" i="1" s="1"/>
  <c r="F106" i="1" s="1"/>
  <c r="F109" i="1" s="1"/>
  <c r="F62" i="1"/>
  <c r="L53" i="1" l="1"/>
  <c r="E106" i="1"/>
  <c r="E109" i="1" s="1"/>
  <c r="L52" i="1" s="1"/>
  <c r="F63" i="1"/>
  <c r="F64" i="1" s="1"/>
  <c r="F65" i="1" s="1"/>
  <c r="F66" i="1" s="1"/>
  <c r="F78" i="1" s="1"/>
  <c r="F81" i="1" s="1"/>
  <c r="O51" i="1" l="1"/>
  <c r="K51" i="1"/>
  <c r="O52" i="1"/>
  <c r="K52" i="1"/>
  <c r="O53" i="1"/>
  <c r="K53" i="1"/>
</calcChain>
</file>

<file path=xl/sharedStrings.xml><?xml version="1.0" encoding="utf-8"?>
<sst xmlns="http://schemas.openxmlformats.org/spreadsheetml/2006/main" count="220" uniqueCount="57">
  <si>
    <t>Real</t>
  </si>
  <si>
    <t>Recaudación</t>
  </si>
  <si>
    <t>Desembolso</t>
  </si>
  <si>
    <t>Total</t>
  </si>
  <si>
    <t>Operaciones</t>
  </si>
  <si>
    <t>Proyección</t>
  </si>
  <si>
    <t>Clientes [Vigentes]</t>
  </si>
  <si>
    <t>Diferida</t>
  </si>
  <si>
    <t>Inmediata</t>
  </si>
  <si>
    <t>QR</t>
  </si>
  <si>
    <t>Rango 1</t>
  </si>
  <si>
    <t>Rango 2</t>
  </si>
  <si>
    <t>Rango 3</t>
  </si>
  <si>
    <t>Rango 4</t>
  </si>
  <si>
    <t>Rango 5</t>
  </si>
  <si>
    <t>Rango 6</t>
  </si>
  <si>
    <t>Rango 7</t>
  </si>
  <si>
    <t>Rango 8</t>
  </si>
  <si>
    <t>Mínimo</t>
  </si>
  <si>
    <t>Máximo</t>
  </si>
  <si>
    <t>Fijo</t>
  </si>
  <si>
    <t>Costo Uni. USD</t>
  </si>
  <si>
    <t>más</t>
  </si>
  <si>
    <t>-</t>
  </si>
  <si>
    <t>Costo Total PEN</t>
  </si>
  <si>
    <t>Escenario A</t>
  </si>
  <si>
    <t>Escenario B</t>
  </si>
  <si>
    <t>Escenario C</t>
  </si>
  <si>
    <t>Parámetros</t>
  </si>
  <si>
    <t>Mix</t>
  </si>
  <si>
    <t>Mult. Ope</t>
  </si>
  <si>
    <t>Mult. QR</t>
  </si>
  <si>
    <t>1. Estimación Preliminar</t>
  </si>
  <si>
    <t>2. Tabla Costos (sin IGV)</t>
  </si>
  <si>
    <t>3. Proyección y Costos</t>
  </si>
  <si>
    <t>CAPEX</t>
  </si>
  <si>
    <t>0. Inputs</t>
  </si>
  <si>
    <t>TC USD/PEN</t>
  </si>
  <si>
    <t>A</t>
  </si>
  <si>
    <t>B</t>
  </si>
  <si>
    <t>C</t>
  </si>
  <si>
    <t>Operaciones Total</t>
  </si>
  <si>
    <t>Fecha</t>
  </si>
  <si>
    <t>Diferida [OPE]</t>
  </si>
  <si>
    <t>Inmediata [OPE]</t>
  </si>
  <si>
    <t>QR [OPE]</t>
  </si>
  <si>
    <t>Costo 12m</t>
  </si>
  <si>
    <t>Cobro Uni. USD</t>
  </si>
  <si>
    <t>Cobro 12m</t>
  </si>
  <si>
    <t>Diferida [PEN]</t>
  </si>
  <si>
    <t>Inmediata [PEN]</t>
  </si>
  <si>
    <t>QR [PEN]</t>
  </si>
  <si>
    <t>Costo Total</t>
  </si>
  <si>
    <t>Costo Uni.</t>
  </si>
  <si>
    <t>Cobro Uni.</t>
  </si>
  <si>
    <t>Ing. Adi.</t>
  </si>
  <si>
    <t>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</si>
</sst>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yy"/>
    <numFmt numFmtId="165" formatCode="#,##0.0000"/>
    <numFmt numFmtId="166" formatCode="#,##0.0"/>
    <numFmt numFmtId="167" formatCode="#,##0.000"/>
  </numFmts>
  <fonts count="15" x14ac:knownFonts="1">
    <font>
      <sz val="8"/>
      <color theme="1"/>
      <name val="Santander Text"/>
      <family val="2"/>
    </font>
    <font>
      <sz val="8"/>
      <color theme="1"/>
      <name val="Santander Text"/>
      <family val="2"/>
    </font>
    <font>
      <sz val="8"/>
      <color rgb="FF3F3F76"/>
      <name val="Santander Text"/>
      <family val="2"/>
    </font>
    <font>
      <b/>
      <sz val="8"/>
      <color theme="1"/>
      <name val="Santander Text"/>
      <family val="2"/>
    </font>
    <font>
      <sz val="8"/>
      <color theme="0"/>
      <name val="Santander Text"/>
      <family val="2"/>
    </font>
    <font>
      <i/>
      <sz val="8"/>
      <color theme="1"/>
      <name val="Santander Text"/>
      <family val="2"/>
    </font>
    <font>
      <i/>
      <sz val="6"/>
      <color theme="0" tint="-0.499984740745262"/>
      <name val="Santander Text"/>
      <family val="2"/>
    </font>
    <font>
      <i/>
      <sz val="6"/>
      <name val="Santander Text"/>
      <family val="2"/>
    </font>
    <font>
      <sz val="8"/>
      <name val="Santander Text"/>
      <family val="2"/>
    </font>
    <font>
      <sz val="10"/>
      <color theme="0"/>
      <name val="Santander Text"/>
      <family val="2"/>
    </font>
    <font>
      <b/>
      <sz val="10"/>
      <color theme="0"/>
      <name val="Santander Text"/>
      <family val="2"/>
    </font>
    <font>
      <b/>
      <u/>
      <sz val="8"/>
      <color rgb="FFFF0000"/>
      <name val="Santander Text"/>
      <family val="2"/>
    </font>
    <font>
      <sz val="8"/>
      <color theme="0" tint="-0.34998626667073579"/>
      <name val="Santander Text"/>
      <family val="2"/>
    </font>
    <font>
      <sz val="8"/>
      <color theme="0" tint="-0.14999847407452621"/>
      <name val="Santander Text"/>
      <family val="2"/>
    </font>
    <font>
      <sz val="10"/>
      <color theme="0" tint="-0.14999847407452621"/>
      <name val="Santander Text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48">
    <xf numFmtId="0" fontId="0" fillId="0" borderId="0" xfId="0"/>
    <xf numFmtId="0" fontId="3" fillId="0" borderId="3" xfId="0" applyFont="1" applyBorder="1"/>
    <xf numFmtId="0" fontId="6" fillId="0" borderId="0" xfId="0" applyFont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0" xfId="0" applyNumberFormat="1"/>
    <xf numFmtId="3" fontId="0" fillId="0" borderId="3" xfId="0" applyNumberFormat="1" applyBorder="1"/>
    <xf numFmtId="0" fontId="0" fillId="5" borderId="3" xfId="0" applyFill="1" applyBorder="1"/>
    <xf numFmtId="0" fontId="7" fillId="0" borderId="0" xfId="0" applyFont="1" applyAlignment="1">
      <alignment horizontal="center"/>
    </xf>
    <xf numFmtId="3" fontId="0" fillId="5" borderId="3" xfId="0" applyNumberFormat="1" applyFill="1" applyBorder="1"/>
    <xf numFmtId="3" fontId="2" fillId="2" borderId="1" xfId="1" applyNumberFormat="1"/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5" borderId="9" xfId="0" applyFill="1" applyBorder="1" applyAlignment="1">
      <alignment horizontal="center"/>
    </xf>
    <xf numFmtId="3" fontId="0" fillId="5" borderId="10" xfId="0" applyNumberFormat="1" applyFill="1" applyBorder="1" applyAlignment="1">
      <alignment horizontal="center"/>
    </xf>
    <xf numFmtId="3" fontId="0" fillId="5" borderId="11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4" xfId="0" applyBorder="1"/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9" fillId="4" borderId="0" xfId="0" applyFont="1" applyFill="1"/>
    <xf numFmtId="0" fontId="10" fillId="4" borderId="0" xfId="0" applyFont="1" applyFill="1"/>
    <xf numFmtId="9" fontId="0" fillId="3" borderId="4" xfId="2" applyNumberFormat="1" applyFont="1" applyBorder="1" applyAlignment="1">
      <alignment horizontal="center"/>
    </xf>
    <xf numFmtId="9" fontId="2" fillId="2" borderId="1" xfId="1" applyNumberFormat="1" applyAlignment="1">
      <alignment horizontal="center"/>
    </xf>
    <xf numFmtId="3" fontId="0" fillId="0" borderId="4" xfId="0" applyNumberFormat="1" applyBorder="1"/>
    <xf numFmtId="0" fontId="11" fillId="0" borderId="0" xfId="0" applyFont="1"/>
    <xf numFmtId="3" fontId="3" fillId="0" borderId="3" xfId="0" applyNumberFormat="1" applyFont="1" applyBorder="1"/>
    <xf numFmtId="0" fontId="12" fillId="0" borderId="0" xfId="0" applyFont="1"/>
    <xf numFmtId="0" fontId="12" fillId="0" borderId="0" xfId="0" applyFont="1" applyAlignment="1">
      <alignment horizontal="left" indent="2"/>
    </xf>
    <xf numFmtId="3" fontId="12" fillId="0" borderId="0" xfId="0" applyNumberFormat="1" applyFont="1"/>
    <xf numFmtId="0" fontId="13" fillId="0" borderId="0" xfId="0" applyFont="1"/>
    <xf numFmtId="0" fontId="14" fillId="4" borderId="0" xfId="0" applyFont="1" applyFill="1"/>
    <xf numFmtId="0" fontId="13" fillId="0" borderId="0" xfId="0" applyFont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 vertical="center" wrapText="1"/>
    </xf>
    <xf numFmtId="0" fontId="3" fillId="0" borderId="0" xfId="0" applyFont="1"/>
    <xf numFmtId="3" fontId="3" fillId="0" borderId="0" xfId="0" applyNumberFormat="1" applyFont="1"/>
    <xf numFmtId="166" fontId="0" fillId="0" borderId="4" xfId="0" applyNumberFormat="1" applyBorder="1"/>
    <xf numFmtId="167" fontId="0" fillId="0" borderId="4" xfId="0" applyNumberFormat="1" applyBorder="1"/>
    <xf numFmtId="3" fontId="0" fillId="9" borderId="4" xfId="0" applyNumberFormat="1" applyFill="1" applyBorder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</cellXfs>
  <cellStyles count="3">
    <cellStyle name="Entrada" xfId="1" builtinId="20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55D2-8476-42A9-84D5-36AE3C4C0014}">
  <sheetPr>
    <outlinePr summaryBelow="0" summaryRight="0"/>
  </sheetPr>
  <dimension ref="B2:P137"/>
  <sheetViews>
    <sheetView showGridLines="0" tabSelected="1" topLeftCell="A42" zoomScale="115" zoomScaleNormal="115" workbookViewId="0">
      <selection activeCell="P51" sqref="P51"/>
    </sheetView>
  </sheetViews>
  <sheetFormatPr baseColWidth="10" defaultRowHeight="13" outlineLevelRow="1" outlineLevelCol="1" x14ac:dyDescent="0.4"/>
  <cols>
    <col min="1" max="1" width="4.33203125" customWidth="1"/>
    <col min="2" max="2" width="4.33203125" customWidth="1" collapsed="1"/>
    <col min="3" max="3" width="4.33203125" style="36" hidden="1" customWidth="1" outlineLevel="1"/>
    <col min="4" max="4" width="18.21875" bestFit="1" customWidth="1"/>
    <col min="5" max="16" width="9.6640625" customWidth="1"/>
  </cols>
  <sheetData>
    <row r="2" spans="3:16" s="26" customFormat="1" ht="16.5" x14ac:dyDescent="0.5">
      <c r="C2" s="37"/>
      <c r="D2" s="27" t="s">
        <v>36</v>
      </c>
    </row>
    <row r="4" spans="3:16" x14ac:dyDescent="0.4">
      <c r="D4" t="s">
        <v>37</v>
      </c>
      <c r="E4" s="25">
        <v>3.45</v>
      </c>
    </row>
    <row r="6" spans="3:16" s="26" customFormat="1" ht="16.5" x14ac:dyDescent="0.5">
      <c r="C6" s="37"/>
      <c r="D6" s="27" t="s">
        <v>32</v>
      </c>
    </row>
    <row r="8" spans="3:16" x14ac:dyDescent="0.4">
      <c r="E8" s="2" t="s">
        <v>0</v>
      </c>
      <c r="F8" s="2" t="s">
        <v>0</v>
      </c>
      <c r="G8" s="2" t="s">
        <v>0</v>
      </c>
      <c r="H8" s="7" t="s">
        <v>5</v>
      </c>
      <c r="I8" s="7" t="s">
        <v>5</v>
      </c>
      <c r="J8" s="7" t="s">
        <v>5</v>
      </c>
      <c r="K8" s="7" t="s">
        <v>5</v>
      </c>
      <c r="L8" s="7" t="s">
        <v>5</v>
      </c>
      <c r="M8" s="7" t="s">
        <v>5</v>
      </c>
      <c r="N8" s="7" t="s">
        <v>5</v>
      </c>
      <c r="O8" s="7" t="s">
        <v>5</v>
      </c>
      <c r="P8" s="7" t="s">
        <v>5</v>
      </c>
    </row>
    <row r="9" spans="3:16" x14ac:dyDescent="0.4">
      <c r="D9" s="1" t="s">
        <v>4</v>
      </c>
      <c r="E9" s="3">
        <v>46053</v>
      </c>
      <c r="F9" s="3">
        <f>EOMONTH(E9,1)</f>
        <v>46081</v>
      </c>
      <c r="G9" s="3">
        <f t="shared" ref="G9:P9" si="0">EOMONTH(F9,1)</f>
        <v>46112</v>
      </c>
      <c r="H9" s="3">
        <f t="shared" si="0"/>
        <v>46142</v>
      </c>
      <c r="I9" s="3">
        <f t="shared" si="0"/>
        <v>46173</v>
      </c>
      <c r="J9" s="3">
        <f t="shared" si="0"/>
        <v>46203</v>
      </c>
      <c r="K9" s="3">
        <f t="shared" si="0"/>
        <v>46234</v>
      </c>
      <c r="L9" s="3">
        <f t="shared" si="0"/>
        <v>46265</v>
      </c>
      <c r="M9" s="3">
        <f t="shared" si="0"/>
        <v>46295</v>
      </c>
      <c r="N9" s="3">
        <f t="shared" si="0"/>
        <v>46326</v>
      </c>
      <c r="O9" s="3">
        <f t="shared" si="0"/>
        <v>46356</v>
      </c>
      <c r="P9" s="3">
        <f t="shared" si="0"/>
        <v>46387</v>
      </c>
    </row>
    <row r="10" spans="3:16" x14ac:dyDescent="0.4">
      <c r="D10" t="s">
        <v>1</v>
      </c>
      <c r="E10" s="4">
        <v>68047</v>
      </c>
      <c r="F10" s="4">
        <v>66470</v>
      </c>
      <c r="G10" s="4">
        <v>71490</v>
      </c>
      <c r="H10" s="4">
        <f>G10/G14*H14</f>
        <v>79038.845146352629</v>
      </c>
      <c r="I10" s="4">
        <f t="shared" ref="I10:P10" si="1">H10/H14*I14</f>
        <v>86753.447964871113</v>
      </c>
      <c r="J10" s="4">
        <f t="shared" si="1"/>
        <v>93396.366771607005</v>
      </c>
      <c r="K10" s="4">
        <f t="shared" si="1"/>
        <v>99982.85328263462</v>
      </c>
      <c r="L10" s="4">
        <f t="shared" si="1"/>
        <v>106547.43292342855</v>
      </c>
      <c r="M10" s="4">
        <f t="shared" si="1"/>
        <v>113724.28653000976</v>
      </c>
      <c r="N10" s="4">
        <f t="shared" si="1"/>
        <v>120669.23652166265</v>
      </c>
      <c r="O10" s="4">
        <f t="shared" si="1"/>
        <v>124523.4585272418</v>
      </c>
      <c r="P10" s="4">
        <f t="shared" si="1"/>
        <v>125597.20993233382</v>
      </c>
    </row>
    <row r="11" spans="3:16" x14ac:dyDescent="0.4">
      <c r="D11" t="s">
        <v>2</v>
      </c>
      <c r="E11" s="4">
        <v>11622</v>
      </c>
      <c r="F11" s="4">
        <v>15158</v>
      </c>
      <c r="G11" s="4">
        <v>19231</v>
      </c>
      <c r="H11" s="9">
        <v>20812.312905024708</v>
      </c>
      <c r="I11" s="9">
        <v>21931.544783176432</v>
      </c>
      <c r="J11" s="9">
        <v>21882.294783176432</v>
      </c>
      <c r="K11" s="9">
        <v>22671.044783176432</v>
      </c>
      <c r="L11" s="9">
        <v>23428.272391588216</v>
      </c>
      <c r="M11" s="9">
        <v>24815.5</v>
      </c>
      <c r="N11" s="9">
        <v>25394.5</v>
      </c>
      <c r="O11" s="9">
        <v>22874.5</v>
      </c>
      <c r="P11" s="9">
        <v>25727.200000000001</v>
      </c>
    </row>
    <row r="12" spans="3:16" x14ac:dyDescent="0.4">
      <c r="D12" s="1" t="s">
        <v>3</v>
      </c>
      <c r="E12" s="5">
        <f>E10+E11</f>
        <v>79669</v>
      </c>
      <c r="F12" s="5">
        <f t="shared" ref="F12:G12" si="2">F10+F11</f>
        <v>81628</v>
      </c>
      <c r="G12" s="5">
        <f t="shared" si="2"/>
        <v>90721</v>
      </c>
      <c r="H12" s="5">
        <f t="shared" ref="H12" si="3">H10+H11</f>
        <v>99851.158051377337</v>
      </c>
      <c r="I12" s="5">
        <f t="shared" ref="I12" si="4">I10+I11</f>
        <v>108684.99274804755</v>
      </c>
      <c r="J12" s="5">
        <f t="shared" ref="J12" si="5">J10+J11</f>
        <v>115278.66155478344</v>
      </c>
      <c r="K12" s="5">
        <f t="shared" ref="K12" si="6">K10+K11</f>
        <v>122653.89806581105</v>
      </c>
      <c r="L12" s="5">
        <f t="shared" ref="L12" si="7">L10+L11</f>
        <v>129975.70531501676</v>
      </c>
      <c r="M12" s="5">
        <f t="shared" ref="M12" si="8">M10+M11</f>
        <v>138539.78653000976</v>
      </c>
      <c r="N12" s="5">
        <f t="shared" ref="N12" si="9">N10+N11</f>
        <v>146063.73652166265</v>
      </c>
      <c r="O12" s="5">
        <f t="shared" ref="O12" si="10">O10+O11</f>
        <v>147397.9585272418</v>
      </c>
      <c r="P12" s="5">
        <f t="shared" ref="P12" si="11">P10+P11</f>
        <v>151324.40993233383</v>
      </c>
    </row>
    <row r="14" spans="3:16" x14ac:dyDescent="0.4">
      <c r="D14" s="6" t="s">
        <v>6</v>
      </c>
      <c r="E14" s="8">
        <v>65235</v>
      </c>
      <c r="F14" s="8">
        <v>68591</v>
      </c>
      <c r="G14" s="8">
        <v>75035</v>
      </c>
      <c r="H14" s="9">
        <v>82958.172409519786</v>
      </c>
      <c r="I14" s="9">
        <v>91055.32197571834</v>
      </c>
      <c r="J14" s="9">
        <v>98027.645554728369</v>
      </c>
      <c r="K14" s="9">
        <v>104940.73850975645</v>
      </c>
      <c r="L14" s="9">
        <v>111830.83829080238</v>
      </c>
      <c r="M14" s="9">
        <v>119363.57308405767</v>
      </c>
      <c r="N14" s="9">
        <v>126652.90477553445</v>
      </c>
      <c r="O14" s="9">
        <v>130698.24745547055</v>
      </c>
      <c r="P14" s="9">
        <v>131825.24335253419</v>
      </c>
    </row>
    <row r="16" spans="3:16" s="26" customFormat="1" ht="16.5" x14ac:dyDescent="0.5">
      <c r="C16" s="37"/>
      <c r="D16" s="27" t="s">
        <v>33</v>
      </c>
    </row>
    <row r="18" spans="4:8" ht="26" x14ac:dyDescent="0.4">
      <c r="D18" s="10" t="s">
        <v>35</v>
      </c>
      <c r="E18" s="12" t="s">
        <v>24</v>
      </c>
    </row>
    <row r="19" spans="4:8" x14ac:dyDescent="0.4">
      <c r="D19" s="13" t="s">
        <v>7</v>
      </c>
      <c r="E19" s="21">
        <v>160000</v>
      </c>
    </row>
    <row r="20" spans="4:8" x14ac:dyDescent="0.4">
      <c r="D20" s="13" t="s">
        <v>8</v>
      </c>
      <c r="E20" s="21">
        <v>120000</v>
      </c>
    </row>
    <row r="21" spans="4:8" x14ac:dyDescent="0.4">
      <c r="D21" s="16" t="s">
        <v>9</v>
      </c>
      <c r="E21" s="17">
        <v>0</v>
      </c>
    </row>
    <row r="23" spans="4:8" ht="26" x14ac:dyDescent="0.4">
      <c r="D23" s="10" t="s">
        <v>7</v>
      </c>
      <c r="E23" s="11" t="s">
        <v>18</v>
      </c>
      <c r="F23" s="11" t="s">
        <v>19</v>
      </c>
      <c r="G23" s="12" t="s">
        <v>21</v>
      </c>
      <c r="H23" s="40" t="s">
        <v>47</v>
      </c>
    </row>
    <row r="24" spans="4:8" x14ac:dyDescent="0.4">
      <c r="D24" s="13" t="s">
        <v>10</v>
      </c>
      <c r="E24" s="14">
        <v>1</v>
      </c>
      <c r="F24" s="14">
        <f>E25-1</f>
        <v>4167</v>
      </c>
      <c r="G24" s="15">
        <v>1.05</v>
      </c>
      <c r="H24" s="15">
        <v>1.05</v>
      </c>
    </row>
    <row r="25" spans="4:8" x14ac:dyDescent="0.4">
      <c r="D25" s="13" t="s">
        <v>11</v>
      </c>
      <c r="E25" s="14">
        <v>4168</v>
      </c>
      <c r="F25" s="14">
        <f t="shared" ref="F25:F30" si="12">E26-1</f>
        <v>8333</v>
      </c>
      <c r="G25" s="15">
        <v>0.53</v>
      </c>
      <c r="H25" s="15">
        <v>0.53</v>
      </c>
    </row>
    <row r="26" spans="4:8" x14ac:dyDescent="0.4">
      <c r="D26" s="13" t="s">
        <v>12</v>
      </c>
      <c r="E26" s="14">
        <v>8334</v>
      </c>
      <c r="F26" s="14">
        <f t="shared" si="12"/>
        <v>20833</v>
      </c>
      <c r="G26" s="15">
        <v>0.16</v>
      </c>
      <c r="H26" s="15">
        <v>0.16</v>
      </c>
    </row>
    <row r="27" spans="4:8" x14ac:dyDescent="0.4">
      <c r="D27" s="13" t="s">
        <v>13</v>
      </c>
      <c r="E27" s="14">
        <v>20834</v>
      </c>
      <c r="F27" s="14">
        <f t="shared" si="12"/>
        <v>41667</v>
      </c>
      <c r="G27" s="15">
        <v>0.08</v>
      </c>
      <c r="H27" s="15">
        <v>0.08</v>
      </c>
    </row>
    <row r="28" spans="4:8" x14ac:dyDescent="0.4">
      <c r="D28" s="13" t="s">
        <v>14</v>
      </c>
      <c r="E28" s="14">
        <v>41668</v>
      </c>
      <c r="F28" s="14">
        <f t="shared" si="12"/>
        <v>83333</v>
      </c>
      <c r="G28" s="15">
        <v>5.3999999999999999E-2</v>
      </c>
      <c r="H28" s="15">
        <v>5.3999999999999999E-2</v>
      </c>
    </row>
    <row r="29" spans="4:8" x14ac:dyDescent="0.4">
      <c r="D29" s="13" t="s">
        <v>15</v>
      </c>
      <c r="E29" s="14">
        <v>83334</v>
      </c>
      <c r="F29" s="14">
        <f t="shared" si="12"/>
        <v>166667</v>
      </c>
      <c r="G29" s="15">
        <v>2.7E-2</v>
      </c>
      <c r="H29" s="15">
        <v>2.7E-2</v>
      </c>
    </row>
    <row r="30" spans="4:8" x14ac:dyDescent="0.4">
      <c r="D30" s="13" t="s">
        <v>16</v>
      </c>
      <c r="E30" s="14">
        <v>166668</v>
      </c>
      <c r="F30" s="14">
        <f t="shared" si="12"/>
        <v>208333</v>
      </c>
      <c r="G30" s="15">
        <v>1.4E-2</v>
      </c>
      <c r="H30" s="15">
        <v>1.4E-2</v>
      </c>
    </row>
    <row r="31" spans="4:8" x14ac:dyDescent="0.4">
      <c r="D31" s="13" t="s">
        <v>17</v>
      </c>
      <c r="E31" s="14">
        <v>208334</v>
      </c>
      <c r="F31" s="14" t="s">
        <v>22</v>
      </c>
      <c r="G31" s="15">
        <v>1.3599999999999999E-2</v>
      </c>
      <c r="H31" s="15">
        <v>1.3599999999999999E-2</v>
      </c>
    </row>
    <row r="32" spans="4:8" x14ac:dyDescent="0.4">
      <c r="D32" s="18" t="s">
        <v>20</v>
      </c>
      <c r="E32" s="19" t="s">
        <v>23</v>
      </c>
      <c r="F32" s="19" t="s">
        <v>23</v>
      </c>
      <c r="G32" s="20">
        <v>2080</v>
      </c>
      <c r="H32" s="20">
        <v>2080</v>
      </c>
    </row>
    <row r="34" spans="3:8" ht="26" x14ac:dyDescent="0.4">
      <c r="D34" s="10" t="s">
        <v>8</v>
      </c>
      <c r="E34" s="11" t="s">
        <v>18</v>
      </c>
      <c r="F34" s="11" t="s">
        <v>19</v>
      </c>
      <c r="G34" s="12" t="s">
        <v>21</v>
      </c>
      <c r="H34" s="40" t="s">
        <v>47</v>
      </c>
    </row>
    <row r="35" spans="3:8" x14ac:dyDescent="0.4">
      <c r="D35" s="13" t="s">
        <v>10</v>
      </c>
      <c r="E35" s="14">
        <v>1</v>
      </c>
      <c r="F35" s="14">
        <f>E36-1</f>
        <v>27500</v>
      </c>
      <c r="G35" s="15">
        <v>5.8000000000000003E-2</v>
      </c>
      <c r="H35" s="15">
        <v>5.8000000000000003E-2</v>
      </c>
    </row>
    <row r="36" spans="3:8" x14ac:dyDescent="0.4">
      <c r="D36" s="13" t="s">
        <v>11</v>
      </c>
      <c r="E36" s="14">
        <v>27501</v>
      </c>
      <c r="F36" s="14">
        <f t="shared" ref="F36:F39" si="13">E37-1</f>
        <v>55000</v>
      </c>
      <c r="G36" s="15">
        <v>4.4999999999999998E-2</v>
      </c>
      <c r="H36" s="15">
        <v>4.4999999999999998E-2</v>
      </c>
    </row>
    <row r="37" spans="3:8" x14ac:dyDescent="0.4">
      <c r="D37" s="13" t="s">
        <v>12</v>
      </c>
      <c r="E37" s="14">
        <v>55001</v>
      </c>
      <c r="F37" s="14">
        <f t="shared" si="13"/>
        <v>110000</v>
      </c>
      <c r="G37" s="15">
        <v>3.2000000000000001E-2</v>
      </c>
      <c r="H37" s="15">
        <v>3.2000000000000001E-2</v>
      </c>
    </row>
    <row r="38" spans="3:8" x14ac:dyDescent="0.4">
      <c r="D38" s="13" t="s">
        <v>13</v>
      </c>
      <c r="E38" s="14">
        <v>110001</v>
      </c>
      <c r="F38" s="14">
        <f t="shared" si="13"/>
        <v>250000</v>
      </c>
      <c r="G38" s="15">
        <v>0.02</v>
      </c>
      <c r="H38" s="15">
        <v>0.02</v>
      </c>
    </row>
    <row r="39" spans="3:8" x14ac:dyDescent="0.4">
      <c r="D39" s="13" t="s">
        <v>14</v>
      </c>
      <c r="E39" s="14">
        <v>250001</v>
      </c>
      <c r="F39" s="14">
        <f t="shared" si="13"/>
        <v>10000000</v>
      </c>
      <c r="G39" s="15">
        <v>1.9E-2</v>
      </c>
      <c r="H39" s="15">
        <v>1.9E-2</v>
      </c>
    </row>
    <row r="40" spans="3:8" x14ac:dyDescent="0.4">
      <c r="D40" s="13" t="s">
        <v>15</v>
      </c>
      <c r="E40" s="14">
        <v>10000001</v>
      </c>
      <c r="F40" s="14" t="s">
        <v>22</v>
      </c>
      <c r="G40" s="15">
        <v>1.4E-2</v>
      </c>
      <c r="H40" s="15">
        <v>1.4E-2</v>
      </c>
    </row>
    <row r="41" spans="3:8" x14ac:dyDescent="0.4">
      <c r="D41" s="18" t="s">
        <v>20</v>
      </c>
      <c r="E41" s="19" t="s">
        <v>23</v>
      </c>
      <c r="F41" s="19" t="s">
        <v>23</v>
      </c>
      <c r="G41" s="20">
        <v>2600</v>
      </c>
      <c r="H41" s="20">
        <v>2600</v>
      </c>
    </row>
    <row r="43" spans="3:8" ht="26" x14ac:dyDescent="0.4">
      <c r="D43" s="10" t="s">
        <v>9</v>
      </c>
      <c r="E43" s="11" t="s">
        <v>19</v>
      </c>
      <c r="F43" s="12" t="s">
        <v>21</v>
      </c>
      <c r="G43" s="40" t="s">
        <v>47</v>
      </c>
    </row>
    <row r="44" spans="3:8" x14ac:dyDescent="0.4">
      <c r="D44" s="13" t="s">
        <v>10</v>
      </c>
      <c r="E44" s="14" t="s">
        <v>22</v>
      </c>
      <c r="F44" s="15">
        <v>1.6500000000000001E-2</v>
      </c>
      <c r="G44" s="15">
        <v>1.6500000000000001E-2</v>
      </c>
    </row>
    <row r="45" spans="3:8" x14ac:dyDescent="0.4">
      <c r="D45" s="18" t="s">
        <v>20</v>
      </c>
      <c r="E45" s="19" t="s">
        <v>23</v>
      </c>
      <c r="F45" s="20">
        <v>0</v>
      </c>
      <c r="G45" s="20">
        <v>0</v>
      </c>
    </row>
    <row r="47" spans="3:8" s="26" customFormat="1" ht="16.5" x14ac:dyDescent="0.5">
      <c r="C47" s="37"/>
      <c r="D47" s="27" t="s">
        <v>34</v>
      </c>
    </row>
    <row r="49" spans="3:16" x14ac:dyDescent="0.4">
      <c r="F49" s="46" t="s">
        <v>29</v>
      </c>
      <c r="G49" s="47"/>
    </row>
    <row r="50" spans="3:16" x14ac:dyDescent="0.4">
      <c r="D50" s="23" t="s">
        <v>28</v>
      </c>
      <c r="E50" s="24" t="s">
        <v>30</v>
      </c>
      <c r="F50" s="24" t="s">
        <v>7</v>
      </c>
      <c r="G50" s="24" t="s">
        <v>8</v>
      </c>
      <c r="H50" s="24" t="s">
        <v>31</v>
      </c>
      <c r="I50" s="24" t="s">
        <v>35</v>
      </c>
      <c r="J50" s="24" t="s">
        <v>4</v>
      </c>
      <c r="K50" s="24" t="s">
        <v>53</v>
      </c>
      <c r="L50" s="24" t="s">
        <v>46</v>
      </c>
      <c r="M50" s="39" t="s">
        <v>54</v>
      </c>
      <c r="N50" s="39" t="s">
        <v>48</v>
      </c>
      <c r="O50" s="39" t="s">
        <v>55</v>
      </c>
    </row>
    <row r="51" spans="3:16" x14ac:dyDescent="0.4">
      <c r="C51" s="38" t="s">
        <v>38</v>
      </c>
      <c r="D51" s="22" t="s">
        <v>25</v>
      </c>
      <c r="E51" s="25">
        <v>1.2</v>
      </c>
      <c r="F51" s="28">
        <v>1</v>
      </c>
      <c r="G51" s="29">
        <f>1-F51</f>
        <v>0</v>
      </c>
      <c r="H51" s="25">
        <v>0.5</v>
      </c>
      <c r="I51" s="30">
        <f>E19*1.18</f>
        <v>188800</v>
      </c>
      <c r="J51" s="45">
        <f>SUM(L75:P75)</f>
        <v>1166147.3196707172</v>
      </c>
      <c r="K51" s="44">
        <f>L51/J51</f>
        <v>0.29141954262153047</v>
      </c>
      <c r="L51" s="45">
        <f>SUM(L81:P81)</f>
        <v>339838.11852776411</v>
      </c>
      <c r="M51" s="43">
        <v>1.5</v>
      </c>
      <c r="N51" s="30">
        <f>M51*J51-SUM(L74:P74)*M51-SUM(L58:P58)*50%*M51</f>
        <v>641971.43714363826</v>
      </c>
      <c r="O51" s="45">
        <f>N51-L51</f>
        <v>302133.31861587416</v>
      </c>
      <c r="P51" t="s">
        <v>56</v>
      </c>
    </row>
    <row r="52" spans="3:16" x14ac:dyDescent="0.4">
      <c r="C52" s="38" t="s">
        <v>39</v>
      </c>
      <c r="D52" s="22" t="s">
        <v>26</v>
      </c>
      <c r="E52" s="25">
        <v>1.2</v>
      </c>
      <c r="F52" s="28">
        <v>0.15</v>
      </c>
      <c r="G52" s="29">
        <f t="shared" ref="G52:G53" si="14">1-F52</f>
        <v>0.85</v>
      </c>
      <c r="H52" s="25">
        <v>0.5</v>
      </c>
      <c r="I52" s="30">
        <f>(E19+E20)*1.18</f>
        <v>330400</v>
      </c>
      <c r="J52" s="30">
        <f>SUM(E103:P103)</f>
        <v>2297252.8113996023</v>
      </c>
      <c r="K52" s="44">
        <f t="shared" ref="K52:K53" si="15">L52/J52</f>
        <v>0.29791196330552155</v>
      </c>
      <c r="L52" s="30">
        <f>SUM(E109:P109)</f>
        <v>684379.09525318455</v>
      </c>
      <c r="M52" s="43">
        <v>1.5</v>
      </c>
      <c r="N52" s="30">
        <f t="shared" ref="N52:N53" si="16">M52*J52</f>
        <v>3445879.2170994035</v>
      </c>
      <c r="O52" s="30">
        <f t="shared" ref="O52:O53" si="17">N52-L52</f>
        <v>2761500.1218462191</v>
      </c>
    </row>
    <row r="53" spans="3:16" x14ac:dyDescent="0.4">
      <c r="C53" s="38" t="s">
        <v>40</v>
      </c>
      <c r="D53" s="22" t="s">
        <v>27</v>
      </c>
      <c r="E53" s="25">
        <v>1.2</v>
      </c>
      <c r="F53" s="28">
        <v>0</v>
      </c>
      <c r="G53" s="29">
        <f t="shared" si="14"/>
        <v>1</v>
      </c>
      <c r="H53" s="25">
        <v>0.5</v>
      </c>
      <c r="I53" s="30">
        <f>E20*1.18</f>
        <v>141600</v>
      </c>
      <c r="J53" s="30">
        <f>SUM(E131:P131)</f>
        <v>2297252.8113996023</v>
      </c>
      <c r="K53" s="44">
        <f t="shared" si="15"/>
        <v>0.12797028894698764</v>
      </c>
      <c r="L53" s="30">
        <f>SUM(E137:P137)</f>
        <v>293980.1060590868</v>
      </c>
      <c r="M53" s="43">
        <v>1.5</v>
      </c>
      <c r="N53" s="30">
        <f t="shared" si="16"/>
        <v>3445879.2170994035</v>
      </c>
      <c r="O53" s="30">
        <f t="shared" si="17"/>
        <v>3151899.1110403165</v>
      </c>
    </row>
    <row r="55" spans="3:16" x14ac:dyDescent="0.4">
      <c r="D55" s="31" t="s">
        <v>25</v>
      </c>
    </row>
    <row r="57" spans="3:16" x14ac:dyDescent="0.4">
      <c r="C57" s="38"/>
      <c r="D57" s="1" t="s">
        <v>42</v>
      </c>
      <c r="E57" s="3">
        <v>46053</v>
      </c>
      <c r="F57" s="3">
        <f>EOMONTH(E57,1)</f>
        <v>46081</v>
      </c>
      <c r="G57" s="3">
        <f t="shared" ref="G57:P57" si="18">EOMONTH(F57,1)</f>
        <v>46112</v>
      </c>
      <c r="H57" s="3">
        <f t="shared" si="18"/>
        <v>46142</v>
      </c>
      <c r="I57" s="3">
        <f t="shared" si="18"/>
        <v>46173</v>
      </c>
      <c r="J57" s="3">
        <f t="shared" si="18"/>
        <v>46203</v>
      </c>
      <c r="K57" s="3">
        <f t="shared" si="18"/>
        <v>46234</v>
      </c>
      <c r="L57" s="3">
        <f t="shared" si="18"/>
        <v>46265</v>
      </c>
      <c r="M57" s="3">
        <f t="shared" si="18"/>
        <v>46295</v>
      </c>
      <c r="N57" s="3">
        <f t="shared" si="18"/>
        <v>46326</v>
      </c>
      <c r="O57" s="3">
        <f t="shared" si="18"/>
        <v>46356</v>
      </c>
      <c r="P57" s="3">
        <f t="shared" si="18"/>
        <v>46387</v>
      </c>
    </row>
    <row r="58" spans="3:16" collapsed="1" x14ac:dyDescent="0.4">
      <c r="C58" s="38" t="s">
        <v>38</v>
      </c>
      <c r="D58" t="s">
        <v>43</v>
      </c>
      <c r="E58" s="4">
        <f>E$12*VLOOKUP($C58,$C$50:$E$53,3,FALSE)*VLOOKUP($C58,$C$50:$G$53,4,FALSE)</f>
        <v>95602.8</v>
      </c>
      <c r="F58" s="4">
        <f t="shared" ref="F58:P58" si="19">F$12*VLOOKUP($C58,$C$50:$E$53,3,FALSE)*VLOOKUP($C58,$C$50:$G$53,4,FALSE)</f>
        <v>97953.599999999991</v>
      </c>
      <c r="G58" s="4">
        <f t="shared" si="19"/>
        <v>108865.2</v>
      </c>
      <c r="H58" s="4">
        <f t="shared" si="19"/>
        <v>119821.38966165279</v>
      </c>
      <c r="I58" s="4">
        <f t="shared" si="19"/>
        <v>130421.99129765705</v>
      </c>
      <c r="J58" s="4">
        <f t="shared" si="19"/>
        <v>138334.39386574013</v>
      </c>
      <c r="K58" s="4">
        <f t="shared" si="19"/>
        <v>147184.67767897327</v>
      </c>
      <c r="L58" s="4">
        <f t="shared" si="19"/>
        <v>155970.8463780201</v>
      </c>
      <c r="M58" s="4">
        <f t="shared" si="19"/>
        <v>166247.74383601171</v>
      </c>
      <c r="N58" s="4">
        <f t="shared" si="19"/>
        <v>175276.48382599518</v>
      </c>
      <c r="O58" s="4">
        <f t="shared" si="19"/>
        <v>176877.55023269015</v>
      </c>
      <c r="P58" s="4">
        <f t="shared" si="19"/>
        <v>181589.29191880059</v>
      </c>
    </row>
    <row r="59" spans="3:16" s="33" customFormat="1" hidden="1" outlineLevel="1" x14ac:dyDescent="0.4">
      <c r="C59" s="38" t="s">
        <v>38</v>
      </c>
      <c r="D59" s="34" t="s">
        <v>10</v>
      </c>
      <c r="E59" s="35">
        <f>IF(E$58&gt;$F24,$F24,0)*VLOOKUP($C59,$C$51:$F$53,4,FALSE)</f>
        <v>4167</v>
      </c>
      <c r="F59" s="35">
        <f t="shared" ref="F59:P59" si="20">IF(F$75&gt;$F24,$F24,0)*VLOOKUP($C59,$C$51:$F$53,4,FALSE)</f>
        <v>4167</v>
      </c>
      <c r="G59" s="35">
        <f t="shared" si="20"/>
        <v>4167</v>
      </c>
      <c r="H59" s="35">
        <f t="shared" si="20"/>
        <v>4167</v>
      </c>
      <c r="I59" s="35">
        <f t="shared" si="20"/>
        <v>4167</v>
      </c>
      <c r="J59" s="35">
        <f t="shared" si="20"/>
        <v>4167</v>
      </c>
      <c r="K59" s="35">
        <f t="shared" si="20"/>
        <v>4167</v>
      </c>
      <c r="L59" s="35">
        <f t="shared" si="20"/>
        <v>4167</v>
      </c>
      <c r="M59" s="35">
        <f t="shared" si="20"/>
        <v>4167</v>
      </c>
      <c r="N59" s="35">
        <f t="shared" si="20"/>
        <v>4167</v>
      </c>
      <c r="O59" s="35">
        <f t="shared" si="20"/>
        <v>4167</v>
      </c>
      <c r="P59" s="35">
        <f t="shared" si="20"/>
        <v>4167</v>
      </c>
    </row>
    <row r="60" spans="3:16" s="33" customFormat="1" hidden="1" outlineLevel="1" x14ac:dyDescent="0.4">
      <c r="C60" s="38" t="s">
        <v>38</v>
      </c>
      <c r="D60" s="34" t="s">
        <v>11</v>
      </c>
      <c r="E60" s="35">
        <f>IF(E$58&gt;$F25,$F25-SUM(E$59:E59),E$58-SUM(E$59:E59))*VLOOKUP($C60,$C$50:$F$53,4,FALSE)</f>
        <v>4166</v>
      </c>
      <c r="F60" s="35">
        <f>IF(F$75&gt;$F25,$F25-SUM(F$59:F59),F$75-SUM(F$59:F59))*VLOOKUP($C60,$C$50:$F$53,4,FALSE)</f>
        <v>4166</v>
      </c>
      <c r="G60" s="35">
        <f>IF(G$75&gt;$F25,$F25-SUM(G$59:G59),G$75-SUM(G$59:G59))*VLOOKUP($C60,$C$50:$F$53,4,FALSE)</f>
        <v>4166</v>
      </c>
      <c r="H60" s="35">
        <f>IF(H$75&gt;$F25,$F25-SUM(H$59:H59),H$75-SUM(H$59:H59))*VLOOKUP($C60,$C$50:$F$53,4,FALSE)</f>
        <v>4166</v>
      </c>
      <c r="I60" s="35">
        <f>IF(I$75&gt;$F25,$F25-SUM(I$59:I59),I$75-SUM(I$59:I59))*VLOOKUP($C60,$C$50:$F$53,4,FALSE)</f>
        <v>4166</v>
      </c>
      <c r="J60" s="35">
        <f>IF(J$75&gt;$F25,$F25-SUM(J$59:J59),J$75-SUM(J$59:J59))*VLOOKUP($C60,$C$50:$F$53,4,FALSE)</f>
        <v>4166</v>
      </c>
      <c r="K60" s="35">
        <f>IF(K$75&gt;$F25,$F25-SUM(K$59:K59),K$75-SUM(K$59:K59))*VLOOKUP($C60,$C$50:$F$53,4,FALSE)</f>
        <v>4166</v>
      </c>
      <c r="L60" s="35">
        <f>IF(L$75&gt;$F25,$F25-SUM(L$59:L59),L$75-SUM(L$59:L59))*VLOOKUP($C60,$C$50:$F$53,4,FALSE)</f>
        <v>4166</v>
      </c>
      <c r="M60" s="35">
        <f>IF(M$75&gt;$F25,$F25-SUM(M$59:M59),M$75-SUM(M$59:M59))*VLOOKUP($C60,$C$50:$F$53,4,FALSE)</f>
        <v>4166</v>
      </c>
      <c r="N60" s="35">
        <f>IF(N$75&gt;$F25,$F25-SUM(N$59:N59),N$75-SUM(N$59:N59))*VLOOKUP($C60,$C$50:$F$53,4,FALSE)</f>
        <v>4166</v>
      </c>
      <c r="O60" s="35">
        <f>IF(O$75&gt;$F25,$F25-SUM(O$59:O59),O$75-SUM(O$59:O59))*VLOOKUP($C60,$C$50:$F$53,4,FALSE)</f>
        <v>4166</v>
      </c>
      <c r="P60" s="35">
        <f>IF(P$75&gt;$F25,$F25-SUM(P$59:P59),P$75-SUM(P$59:P59))*VLOOKUP($C60,$C$50:$F$53,4,FALSE)</f>
        <v>4166</v>
      </c>
    </row>
    <row r="61" spans="3:16" s="33" customFormat="1" hidden="1" outlineLevel="1" x14ac:dyDescent="0.4">
      <c r="C61" s="38" t="s">
        <v>38</v>
      </c>
      <c r="D61" s="34" t="s">
        <v>12</v>
      </c>
      <c r="E61" s="35">
        <f>IF(E$58&gt;$F26,$F26-SUM(E$59:E60),E$58-SUM(E$59:E60))*VLOOKUP($C61,$C$50:$F$53,4,FALSE)</f>
        <v>12500</v>
      </c>
      <c r="F61" s="35">
        <f>IF(F$75&gt;$F26,$F26-SUM(F$59:F60),F$75-SUM(F$59:F60))*VLOOKUP($C61,$C$50:$F$53,4,FALSE)</f>
        <v>12500</v>
      </c>
      <c r="G61" s="35">
        <f>IF(G$75&gt;$F26,$F26-SUM(G$59:G60),G$75-SUM(G$59:G60))*VLOOKUP($C61,$C$50:$F$53,4,FALSE)</f>
        <v>12500</v>
      </c>
      <c r="H61" s="35">
        <f>IF(H$75&gt;$F26,$F26-SUM(H$59:H60),H$75-SUM(H$59:H60))*VLOOKUP($C61,$C$50:$F$53,4,FALSE)</f>
        <v>12500</v>
      </c>
      <c r="I61" s="35">
        <f>IF(I$75&gt;$F26,$F26-SUM(I$59:I60),I$75-SUM(I$59:I60))*VLOOKUP($C61,$C$50:$F$53,4,FALSE)</f>
        <v>12500</v>
      </c>
      <c r="J61" s="35">
        <f>IF(J$75&gt;$F26,$F26-SUM(J$59:J60),J$75-SUM(J$59:J60))*VLOOKUP($C61,$C$50:$F$53,4,FALSE)</f>
        <v>12500</v>
      </c>
      <c r="K61" s="35">
        <f>IF(K$75&gt;$F26,$F26-SUM(K$59:K60),K$75-SUM(K$59:K60))*VLOOKUP($C61,$C$50:$F$53,4,FALSE)</f>
        <v>12500</v>
      </c>
      <c r="L61" s="35">
        <f>IF(L$75&gt;$F26,$F26-SUM(L$59:L60),L$75-SUM(L$59:L60))*VLOOKUP($C61,$C$50:$F$53,4,FALSE)</f>
        <v>12500</v>
      </c>
      <c r="M61" s="35">
        <f>IF(M$75&gt;$F26,$F26-SUM(M$59:M60),M$75-SUM(M$59:M60))*VLOOKUP($C61,$C$50:$F$53,4,FALSE)</f>
        <v>12500</v>
      </c>
      <c r="N61" s="35">
        <f>IF(N$75&gt;$F26,$F26-SUM(N$59:N60),N$75-SUM(N$59:N60))*VLOOKUP($C61,$C$50:$F$53,4,FALSE)</f>
        <v>12500</v>
      </c>
      <c r="O61" s="35">
        <f>IF(O$75&gt;$F26,$F26-SUM(O$59:O60),O$75-SUM(O$59:O60))*VLOOKUP($C61,$C$50:$F$53,4,FALSE)</f>
        <v>12500</v>
      </c>
      <c r="P61" s="35">
        <f>IF(P$75&gt;$F26,$F26-SUM(P$59:P60),P$75-SUM(P$59:P60))*VLOOKUP($C61,$C$50:$F$53,4,FALSE)</f>
        <v>12500</v>
      </c>
    </row>
    <row r="62" spans="3:16" s="33" customFormat="1" hidden="1" outlineLevel="1" x14ac:dyDescent="0.4">
      <c r="C62" s="38" t="s">
        <v>38</v>
      </c>
      <c r="D62" s="34" t="s">
        <v>13</v>
      </c>
      <c r="E62" s="35">
        <f>IF(E$58&gt;$F27,$F27-SUM(E$59:E61),E$58-SUM(E$59:E61))*VLOOKUP($C62,$C$50:$F$53,4,FALSE)</f>
        <v>20834</v>
      </c>
      <c r="F62" s="35">
        <f>IF(F$75&gt;$F27,$F27-SUM(F$59:F61),F$75-SUM(F$59:F61))*VLOOKUP($C62,$C$50:$F$53,4,FALSE)</f>
        <v>20834</v>
      </c>
      <c r="G62" s="35">
        <f>IF(G$75&gt;$F27,$F27-SUM(G$59:G61),G$75-SUM(G$59:G61))*VLOOKUP($C62,$C$50:$F$53,4,FALSE)</f>
        <v>20834</v>
      </c>
      <c r="H62" s="35">
        <f>IF(H$75&gt;$F27,$F27-SUM(H$59:H61),H$75-SUM(H$59:H61))*VLOOKUP($C62,$C$50:$F$53,4,FALSE)</f>
        <v>20834</v>
      </c>
      <c r="I62" s="35">
        <f>IF(I$75&gt;$F27,$F27-SUM(I$59:I61),I$75-SUM(I$59:I61))*VLOOKUP($C62,$C$50:$F$53,4,FALSE)</f>
        <v>20834</v>
      </c>
      <c r="J62" s="35">
        <f>IF(J$75&gt;$F27,$F27-SUM(J$59:J61),J$75-SUM(J$59:J61))*VLOOKUP($C62,$C$50:$F$53,4,FALSE)</f>
        <v>20834</v>
      </c>
      <c r="K62" s="35">
        <f>IF(K$75&gt;$F27,$F27-SUM(K$59:K61),K$75-SUM(K$59:K61))*VLOOKUP($C62,$C$50:$F$53,4,FALSE)</f>
        <v>20834</v>
      </c>
      <c r="L62" s="35">
        <f>IF(L$75&gt;$F27,$F27-SUM(L$59:L61),L$75-SUM(L$59:L61))*VLOOKUP($C62,$C$50:$F$53,4,FALSE)</f>
        <v>20834</v>
      </c>
      <c r="M62" s="35">
        <f>IF(M$75&gt;$F27,$F27-SUM(M$59:M61),M$75-SUM(M$59:M61))*VLOOKUP($C62,$C$50:$F$53,4,FALSE)</f>
        <v>20834</v>
      </c>
      <c r="N62" s="35">
        <f>IF(N$75&gt;$F27,$F27-SUM(N$59:N61),N$75-SUM(N$59:N61))*VLOOKUP($C62,$C$50:$F$53,4,FALSE)</f>
        <v>20834</v>
      </c>
      <c r="O62" s="35">
        <f>IF(O$75&gt;$F27,$F27-SUM(O$59:O61),O$75-SUM(O$59:O61))*VLOOKUP($C62,$C$50:$F$53,4,FALSE)</f>
        <v>20834</v>
      </c>
      <c r="P62" s="35">
        <f>IF(P$75&gt;$F27,$F27-SUM(P$59:P61),P$75-SUM(P$59:P61))*VLOOKUP($C62,$C$50:$F$53,4,FALSE)</f>
        <v>20834</v>
      </c>
    </row>
    <row r="63" spans="3:16" s="33" customFormat="1" hidden="1" outlineLevel="1" x14ac:dyDescent="0.4">
      <c r="C63" s="38" t="s">
        <v>38</v>
      </c>
      <c r="D63" s="34" t="s">
        <v>14</v>
      </c>
      <c r="E63" s="35">
        <f>IF(E$58&gt;$F28,$F28-SUM(E$59:E62),E$58-SUM(E$59:E62))*VLOOKUP($C63,$C$50:$F$53,4,FALSE)</f>
        <v>41666</v>
      </c>
      <c r="F63" s="35">
        <f>IF(F$75&gt;$F28,$F28-SUM(F$59:F62),F$75-SUM(F$59:F62))*VLOOKUP($C63,$C$50:$F$53,4,FALSE)</f>
        <v>41666</v>
      </c>
      <c r="G63" s="35">
        <f>IF(G$75&gt;$F28,$F28-SUM(G$59:G62),G$75-SUM(G$59:G62))*VLOOKUP($C63,$C$50:$F$53,4,FALSE)</f>
        <v>41666</v>
      </c>
      <c r="H63" s="35">
        <f>IF(H$75&gt;$F28,$F28-SUM(H$59:H62),H$75-SUM(H$59:H62))*VLOOKUP($C63,$C$50:$F$53,4,FALSE)</f>
        <v>41666</v>
      </c>
      <c r="I63" s="35">
        <f>IF(I$75&gt;$F28,$F28-SUM(I$59:I62),I$75-SUM(I$59:I62))*VLOOKUP($C63,$C$50:$F$53,4,FALSE)</f>
        <v>41666</v>
      </c>
      <c r="J63" s="35">
        <f>IF(J$75&gt;$F28,$F28-SUM(J$59:J62),J$75-SUM(J$59:J62))*VLOOKUP($C63,$C$50:$F$53,4,FALSE)</f>
        <v>41666</v>
      </c>
      <c r="K63" s="35">
        <f>IF(K$75&gt;$F28,$F28-SUM(K$59:K62),K$75-SUM(K$59:K62))*VLOOKUP($C63,$C$50:$F$53,4,FALSE)</f>
        <v>41666</v>
      </c>
      <c r="L63" s="35">
        <f>IF(L$75&gt;$F28,$F28-SUM(L$59:L62),L$75-SUM(L$59:L62))*VLOOKUP($C63,$C$50:$F$53,4,FALSE)</f>
        <v>41666</v>
      </c>
      <c r="M63" s="35">
        <f>IF(M$75&gt;$F28,$F28-SUM(M$59:M62),M$75-SUM(M$59:M62))*VLOOKUP($C63,$C$50:$F$53,4,FALSE)</f>
        <v>41666</v>
      </c>
      <c r="N63" s="35">
        <f>IF(N$75&gt;$F28,$F28-SUM(N$59:N62),N$75-SUM(N$59:N62))*VLOOKUP($C63,$C$50:$F$53,4,FALSE)</f>
        <v>41666</v>
      </c>
      <c r="O63" s="35">
        <f>IF(O$75&gt;$F28,$F28-SUM(O$59:O62),O$75-SUM(O$59:O62))*VLOOKUP($C63,$C$50:$F$53,4,FALSE)</f>
        <v>41666</v>
      </c>
      <c r="P63" s="35">
        <f>IF(P$75&gt;$F28,$F28-SUM(P$59:P62),P$75-SUM(P$59:P62))*VLOOKUP($C63,$C$50:$F$53,4,FALSE)</f>
        <v>41666</v>
      </c>
    </row>
    <row r="64" spans="3:16" s="33" customFormat="1" hidden="1" outlineLevel="1" x14ac:dyDescent="0.4">
      <c r="C64" s="38" t="s">
        <v>38</v>
      </c>
      <c r="D64" s="34" t="s">
        <v>15</v>
      </c>
      <c r="E64" s="35">
        <f>IF(E$58&gt;$F29,$F29-SUM(E$59:E63),E$58-SUM(E$59:E63))*VLOOKUP($C64,$C$50:$F$53,4,FALSE)</f>
        <v>12269.800000000003</v>
      </c>
      <c r="F64" s="35">
        <f>IF(F$75&gt;$F29,$F29-SUM(F$59:F63),F$75-SUM(F$59:F63))*VLOOKUP($C64,$C$50:$F$53,4,FALSE)</f>
        <v>48916.099999999977</v>
      </c>
      <c r="G64" s="35">
        <f>IF(G$75&gt;$F29,$F29-SUM(G$59:G63),G$75-SUM(G$59:G63))*VLOOKUP($C64,$C$50:$F$53,4,FALSE)</f>
        <v>63049.700000000012</v>
      </c>
      <c r="H64" s="35">
        <f>IF(H$75&gt;$F29,$F29-SUM(H$59:H63),H$75-SUM(H$59:H63))*VLOOKUP($C64,$C$50:$F$53,4,FALSE)</f>
        <v>77967.475866412686</v>
      </c>
      <c r="I64" s="35">
        <f>IF(I$75&gt;$F29,$F29-SUM(I$59:I63),I$75-SUM(I$59:I63))*VLOOKUP($C64,$C$50:$F$53,4,FALSE)</f>
        <v>83334</v>
      </c>
      <c r="J64" s="35">
        <f>IF(J$75&gt;$F29,$F29-SUM(J$59:J63),J$75-SUM(J$59:J63))*VLOOKUP($C64,$C$50:$F$53,4,FALSE)</f>
        <v>83334</v>
      </c>
      <c r="K64" s="35">
        <f>IF(K$75&gt;$F29,$F29-SUM(K$59:K63),K$75-SUM(K$59:K63))*VLOOKUP($C64,$C$50:$F$53,4,FALSE)</f>
        <v>83334</v>
      </c>
      <c r="L64" s="35">
        <f>IF(L$75&gt;$F29,$F29-SUM(L$59:L63),L$75-SUM(L$59:L63))*VLOOKUP($C64,$C$50:$F$53,4,FALSE)</f>
        <v>83334</v>
      </c>
      <c r="M64" s="35">
        <f>IF(M$75&gt;$F29,$F29-SUM(M$59:M63),M$75-SUM(M$59:M63))*VLOOKUP($C64,$C$50:$F$53,4,FALSE)</f>
        <v>83334</v>
      </c>
      <c r="N64" s="35">
        <f>IF(N$75&gt;$F29,$F29-SUM(N$59:N63),N$75-SUM(N$59:N63))*VLOOKUP($C64,$C$50:$F$53,4,FALSE)</f>
        <v>83334</v>
      </c>
      <c r="O64" s="35">
        <f>IF(O$75&gt;$F29,$F29-SUM(O$59:O63),O$75-SUM(O$59:O63))*VLOOKUP($C64,$C$50:$F$53,4,FALSE)</f>
        <v>83334</v>
      </c>
      <c r="P64" s="35">
        <f>IF(P$75&gt;$F29,$F29-SUM(P$59:P63),P$75-SUM(P$59:P63))*VLOOKUP($C64,$C$50:$F$53,4,FALSE)</f>
        <v>83334</v>
      </c>
    </row>
    <row r="65" spans="3:16" s="33" customFormat="1" hidden="1" outlineLevel="1" x14ac:dyDescent="0.4">
      <c r="C65" s="38" t="s">
        <v>38</v>
      </c>
      <c r="D65" s="34" t="s">
        <v>16</v>
      </c>
      <c r="E65" s="35">
        <f>IF(E$58&gt;$F30,$F30-SUM(E$59:E64),E$58-SUM(E$59:E64))*VLOOKUP($C65,$C$50:$F$53,4,FALSE)</f>
        <v>0</v>
      </c>
      <c r="F65" s="35">
        <f>IF(F$75&gt;$F30,$F30-SUM(F$59:F64),F$75-SUM(F$59:F64))*VLOOKUP($C65,$C$50:$F$53,4,FALSE)</f>
        <v>0</v>
      </c>
      <c r="G65" s="35">
        <f>IF(G$75&gt;$F30,$F30-SUM(G$59:G64),G$75-SUM(G$59:G64))*VLOOKUP($C65,$C$50:$F$53,4,FALSE)</f>
        <v>0</v>
      </c>
      <c r="H65" s="35">
        <f>IF(H$75&gt;$F30,$F30-SUM(H$59:H64),H$75-SUM(H$59:H64))*VLOOKUP($C65,$C$50:$F$53,4,FALSE)</f>
        <v>0</v>
      </c>
      <c r="I65" s="35">
        <f>IF(I$75&gt;$F30,$F30-SUM(I$59:I64),I$75-SUM(I$59:I64))*VLOOKUP($C65,$C$50:$F$53,4,FALSE)</f>
        <v>9282.6522855162038</v>
      </c>
      <c r="J65" s="35">
        <f>IF(J$75&gt;$F30,$F30-SUM(J$59:J64),J$75-SUM(J$59:J64))*VLOOKUP($C65,$C$50:$F$53,4,FALSE)</f>
        <v>20681.21664310433</v>
      </c>
      <c r="K65" s="35">
        <f>IF(K$75&gt;$F30,$F30-SUM(K$59:K64),K$75-SUM(K$59:K64))*VLOOKUP($C65,$C$50:$F$53,4,FALSE)</f>
        <v>32988.046933851496</v>
      </c>
      <c r="L65" s="35">
        <f>IF(L$75&gt;$F30,$F30-SUM(L$59:L64),L$75-SUM(L$59:L64))*VLOOKUP($C65,$C$50:$F$53,4,FALSE)</f>
        <v>41666</v>
      </c>
      <c r="M65" s="35">
        <f>IF(M$75&gt;$F30,$F30-SUM(M$59:M64),M$75-SUM(M$59:M64))*VLOOKUP($C65,$C$50:$F$53,4,FALSE)</f>
        <v>41666</v>
      </c>
      <c r="N65" s="35">
        <f>IF(N$75&gt;$F30,$F30-SUM(N$59:N64),N$75-SUM(N$59:N64))*VLOOKUP($C65,$C$50:$F$53,4,FALSE)</f>
        <v>41666</v>
      </c>
      <c r="O65" s="35">
        <f>IF(O$75&gt;$F30,$F30-SUM(O$59:O64),O$75-SUM(O$59:O64))*VLOOKUP($C65,$C$50:$F$53,4,FALSE)</f>
        <v>41666</v>
      </c>
      <c r="P65" s="35">
        <f>IF(P$75&gt;$F30,$F30-SUM(P$59:P64),P$75-SUM(P$59:P64))*VLOOKUP($C65,$C$50:$F$53,4,FALSE)</f>
        <v>41666</v>
      </c>
    </row>
    <row r="66" spans="3:16" s="33" customFormat="1" hidden="1" outlineLevel="1" x14ac:dyDescent="0.4">
      <c r="C66" s="38" t="s">
        <v>38</v>
      </c>
      <c r="D66" s="34" t="s">
        <v>17</v>
      </c>
      <c r="E66" s="35">
        <f>IF(E$58&gt;$F31,$F31-SUM(E$59:E65),E$58-SUM(E$59:E65))*VLOOKUP($C66,$C$50:$F$53,4,FALSE)</f>
        <v>0</v>
      </c>
      <c r="F66" s="35">
        <f>IF(F$75&gt;$F31,$F31-SUM(F$59:F65),F$75-SUM(F$59:F65))*VLOOKUP($C66,$C$50:$F$53,4,FALSE)</f>
        <v>0</v>
      </c>
      <c r="G66" s="35">
        <f>IF(G$75&gt;$F31,$F31-SUM(G$59:G65),G$75-SUM(G$59:G65))*VLOOKUP($C66,$C$50:$F$53,4,FALSE)</f>
        <v>0</v>
      </c>
      <c r="H66" s="35">
        <f>IF(H$75&gt;$F31,$F31-SUM(H$59:H65),H$75-SUM(H$59:H65))*VLOOKUP($C66,$C$50:$F$53,4,FALSE)</f>
        <v>0</v>
      </c>
      <c r="I66" s="35">
        <f>IF(I$75&gt;$F31,$F31-SUM(I$59:I65),I$75-SUM(I$59:I65))*VLOOKUP($C66,$C$50:$F$53,4,FALSE)</f>
        <v>0</v>
      </c>
      <c r="J66" s="35">
        <f>IF(J$75&gt;$F31,$F31-SUM(J$59:J65),J$75-SUM(J$59:J65))*VLOOKUP($C66,$C$50:$F$53,4,FALSE)</f>
        <v>0</v>
      </c>
      <c r="K66" s="35">
        <f>IF(K$75&gt;$F31,$F31-SUM(K$59:K65),K$75-SUM(K$59:K65))*VLOOKUP($C66,$C$50:$F$53,4,FALSE)</f>
        <v>0</v>
      </c>
      <c r="L66" s="35">
        <f>IF(L$75&gt;$F31,$F31-SUM(L$59:L65),L$75-SUM(L$59:L65))*VLOOKUP($C66,$C$50:$F$53,4,FALSE)</f>
        <v>3553.2655234212871</v>
      </c>
      <c r="M66" s="35">
        <f>IF(M$75&gt;$F31,$F31-SUM(M$59:M65),M$75-SUM(M$59:M65))*VLOOKUP($C66,$C$50:$F$53,4,FALSE)</f>
        <v>17596.530378040537</v>
      </c>
      <c r="N66" s="35">
        <f>IF(N$75&gt;$F31,$F31-SUM(N$59:N65),N$75-SUM(N$59:N65))*VLOOKUP($C66,$C$50:$F$53,4,FALSE)</f>
        <v>30269.936213762412</v>
      </c>
      <c r="O66" s="35">
        <f>IF(O$75&gt;$F31,$F31-SUM(O$59:O65),O$75-SUM(O$59:O65))*VLOOKUP($C66,$C$50:$F$53,4,FALSE)</f>
        <v>33893.673960425425</v>
      </c>
      <c r="P66" s="35">
        <f>IF(P$75&gt;$F31,$F31-SUM(P$59:P65),P$75-SUM(P$59:P65))*VLOOKUP($C66,$C$50:$F$53,4,FALSE)</f>
        <v>39168.913595067686</v>
      </c>
    </row>
    <row r="67" spans="3:16" collapsed="1" x14ac:dyDescent="0.4">
      <c r="C67" s="38" t="s">
        <v>38</v>
      </c>
      <c r="D67" t="s">
        <v>44</v>
      </c>
      <c r="E67" s="4">
        <f>E$12*VLOOKUP($C67,$C$50:$E$53,3,FALSE)*VLOOKUP($C67,$C$50:$G$53,5,FALSE)</f>
        <v>0</v>
      </c>
      <c r="F67" s="4">
        <f t="shared" ref="F67:P67" si="21">F$12*VLOOKUP($C67,$C$50:$E$53,3,FALSE)*VLOOKUP($C67,$C$50:$G$53,5,FALSE)</f>
        <v>0</v>
      </c>
      <c r="G67" s="4">
        <f t="shared" si="21"/>
        <v>0</v>
      </c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  <c r="M67" s="4">
        <f t="shared" si="21"/>
        <v>0</v>
      </c>
      <c r="N67" s="4">
        <f t="shared" si="21"/>
        <v>0</v>
      </c>
      <c r="O67" s="4">
        <f t="shared" si="21"/>
        <v>0</v>
      </c>
      <c r="P67" s="4">
        <f t="shared" si="21"/>
        <v>0</v>
      </c>
    </row>
    <row r="68" spans="3:16" s="33" customFormat="1" hidden="1" outlineLevel="1" x14ac:dyDescent="0.4">
      <c r="C68" s="38" t="s">
        <v>38</v>
      </c>
      <c r="D68" s="34" t="s">
        <v>10</v>
      </c>
      <c r="E68" s="35">
        <f>IF(E$67&gt;$F35,$F35,0)*VLOOKUP($C68,$C$50:$G$53,5,FALSE)</f>
        <v>0</v>
      </c>
      <c r="F68" s="35">
        <f t="shared" ref="F68:P68" si="22">IF(F$67&gt;$F35,$F35,0)*VLOOKUP($C68,$C$50:$G$53,5,FALSE)</f>
        <v>0</v>
      </c>
      <c r="G68" s="35">
        <f t="shared" si="22"/>
        <v>0</v>
      </c>
      <c r="H68" s="35">
        <f t="shared" si="22"/>
        <v>0</v>
      </c>
      <c r="I68" s="35">
        <f t="shared" si="22"/>
        <v>0</v>
      </c>
      <c r="J68" s="35">
        <f t="shared" si="22"/>
        <v>0</v>
      </c>
      <c r="K68" s="35">
        <f t="shared" si="22"/>
        <v>0</v>
      </c>
      <c r="L68" s="35">
        <f t="shared" si="22"/>
        <v>0</v>
      </c>
      <c r="M68" s="35">
        <f t="shared" si="22"/>
        <v>0</v>
      </c>
      <c r="N68" s="35">
        <f t="shared" si="22"/>
        <v>0</v>
      </c>
      <c r="O68" s="35">
        <f t="shared" si="22"/>
        <v>0</v>
      </c>
      <c r="P68" s="35">
        <f t="shared" si="22"/>
        <v>0</v>
      </c>
    </row>
    <row r="69" spans="3:16" s="33" customFormat="1" hidden="1" outlineLevel="1" x14ac:dyDescent="0.4">
      <c r="C69" s="38" t="s">
        <v>38</v>
      </c>
      <c r="D69" s="34" t="s">
        <v>11</v>
      </c>
      <c r="E69" s="35">
        <f>IF(E$67&gt;$F36,$F36-SUM(E$68:E68),E$67-SUM(E$68:E68))*VLOOKUP($C69,$C$50:$G$53,5,FALSE)</f>
        <v>0</v>
      </c>
      <c r="F69" s="35">
        <f>IF(F$67&gt;$F36,$F36-SUM(F$68:F68),F$67-SUM(F$68:F68))*VLOOKUP($C69,$C$50:$G$53,5,FALSE)</f>
        <v>0</v>
      </c>
      <c r="G69" s="35">
        <f>IF(G$67&gt;$F36,$F36-SUM(G$68:G68),G$67-SUM(G$68:G68))*VLOOKUP($C69,$C$50:$G$53,5,FALSE)</f>
        <v>0</v>
      </c>
      <c r="H69" s="35">
        <f>IF(H$67&gt;$F36,$F36-SUM(H$68:H68),H$67-SUM(H$68:H68))*VLOOKUP($C69,$C$50:$G$53,5,FALSE)</f>
        <v>0</v>
      </c>
      <c r="I69" s="35">
        <f>IF(I$67&gt;$F36,$F36-SUM(I$68:I68),I$67-SUM(I$68:I68))*VLOOKUP($C69,$C$50:$G$53,5,FALSE)</f>
        <v>0</v>
      </c>
      <c r="J69" s="35">
        <f>IF(J$67&gt;$F36,$F36-SUM(J$68:J68),J$67-SUM(J$68:J68))*VLOOKUP($C69,$C$50:$G$53,5,FALSE)</f>
        <v>0</v>
      </c>
      <c r="K69" s="35">
        <f>IF(K$67&gt;$F36,$F36-SUM(K$68:K68),K$67-SUM(K$68:K68))*VLOOKUP($C69,$C$50:$G$53,5,FALSE)</f>
        <v>0</v>
      </c>
      <c r="L69" s="35">
        <f>IF(L$67&gt;$F36,$F36-SUM(L$68:L68),L$67-SUM(L$68:L68))*VLOOKUP($C69,$C$50:$G$53,5,FALSE)</f>
        <v>0</v>
      </c>
      <c r="M69" s="35">
        <f>IF(M$67&gt;$F36,$F36-SUM(M$68:M68),M$67-SUM(M$68:M68))*VLOOKUP($C69,$C$50:$G$53,5,FALSE)</f>
        <v>0</v>
      </c>
      <c r="N69" s="35">
        <f>IF(N$67&gt;$F36,$F36-SUM(N$68:N68),N$67-SUM(N$68:N68))*VLOOKUP($C69,$C$50:$G$53,5,FALSE)</f>
        <v>0</v>
      </c>
      <c r="O69" s="35">
        <f>IF(O$67&gt;$F36,$F36-SUM(O$68:O68),O$67-SUM(O$68:O68))*VLOOKUP($C69,$C$50:$G$53,5,FALSE)</f>
        <v>0</v>
      </c>
      <c r="P69" s="35">
        <f>IF(P$67&gt;$F36,$F36-SUM(P$68:P68),P$67-SUM(P$68:P68))*VLOOKUP($C69,$C$50:$G$53,5,FALSE)</f>
        <v>0</v>
      </c>
    </row>
    <row r="70" spans="3:16" s="33" customFormat="1" hidden="1" outlineLevel="1" x14ac:dyDescent="0.4">
      <c r="C70" s="38" t="s">
        <v>38</v>
      </c>
      <c r="D70" s="34" t="s">
        <v>12</v>
      </c>
      <c r="E70" s="35">
        <f>IF(E$67&gt;$F37,$F37-SUM(E$68:E69),E$67-SUM(E$68:E69))*VLOOKUP($C70,$C$50:$G$53,5,FALSE)</f>
        <v>0</v>
      </c>
      <c r="F70" s="35">
        <f>IF(F$67&gt;$F37,$F37-SUM(F$68:F69),F$67-SUM(F$68:F69))*VLOOKUP($C70,$C$50:$G$53,5,FALSE)</f>
        <v>0</v>
      </c>
      <c r="G70" s="35">
        <f>IF(G$67&gt;$F37,$F37-SUM(G$68:G69),G$67-SUM(G$68:G69))*VLOOKUP($C70,$C$50:$G$53,5,FALSE)</f>
        <v>0</v>
      </c>
      <c r="H70" s="35">
        <f>IF(H$67&gt;$F37,$F37-SUM(H$68:H69),H$67-SUM(H$68:H69))*VLOOKUP($C70,$C$50:$G$53,5,FALSE)</f>
        <v>0</v>
      </c>
      <c r="I70" s="35">
        <f>IF(I$67&gt;$F37,$F37-SUM(I$68:I69),I$67-SUM(I$68:I69))*VLOOKUP($C70,$C$50:$G$53,5,FALSE)</f>
        <v>0</v>
      </c>
      <c r="J70" s="35">
        <f>IF(J$67&gt;$F37,$F37-SUM(J$68:J69),J$67-SUM(J$68:J69))*VLOOKUP($C70,$C$50:$G$53,5,FALSE)</f>
        <v>0</v>
      </c>
      <c r="K70" s="35">
        <f>IF(K$67&gt;$F37,$F37-SUM(K$68:K69),K$67-SUM(K$68:K69))*VLOOKUP($C70,$C$50:$G$53,5,FALSE)</f>
        <v>0</v>
      </c>
      <c r="L70" s="35">
        <f>IF(L$67&gt;$F37,$F37-SUM(L$68:L69),L$67-SUM(L$68:L69))*VLOOKUP($C70,$C$50:$G$53,5,FALSE)</f>
        <v>0</v>
      </c>
      <c r="M70" s="35">
        <f>IF(M$67&gt;$F37,$F37-SUM(M$68:M69),M$67-SUM(M$68:M69))*VLOOKUP($C70,$C$50:$G$53,5,FALSE)</f>
        <v>0</v>
      </c>
      <c r="N70" s="35">
        <f>IF(N$67&gt;$F37,$F37-SUM(N$68:N69),N$67-SUM(N$68:N69))*VLOOKUP($C70,$C$50:$G$53,5,FALSE)</f>
        <v>0</v>
      </c>
      <c r="O70" s="35">
        <f>IF(O$67&gt;$F37,$F37-SUM(O$68:O69),O$67-SUM(O$68:O69))*VLOOKUP($C70,$C$50:$G$53,5,FALSE)</f>
        <v>0</v>
      </c>
      <c r="P70" s="35">
        <f>IF(P$67&gt;$F37,$F37-SUM(P$68:P69),P$67-SUM(P$68:P69))*VLOOKUP($C70,$C$50:$G$53,5,FALSE)</f>
        <v>0</v>
      </c>
    </row>
    <row r="71" spans="3:16" s="33" customFormat="1" hidden="1" outlineLevel="1" x14ac:dyDescent="0.4">
      <c r="C71" s="38" t="s">
        <v>38</v>
      </c>
      <c r="D71" s="34" t="s">
        <v>13</v>
      </c>
      <c r="E71" s="35">
        <f>IF(E$67&gt;$F38,$F38-SUM(E$68:E70),E$67-SUM(E$68:E70))*VLOOKUP($C71,$C$50:$G$53,5,FALSE)</f>
        <v>0</v>
      </c>
      <c r="F71" s="35">
        <f>IF(F$67&gt;$F38,$F38-SUM(F$68:F70),F$67-SUM(F$68:F70))*VLOOKUP($C71,$C$50:$G$53,5,FALSE)</f>
        <v>0</v>
      </c>
      <c r="G71" s="35">
        <f>IF(G$67&gt;$F38,$F38-SUM(G$68:G70),G$67-SUM(G$68:G70))*VLOOKUP($C71,$C$50:$G$53,5,FALSE)</f>
        <v>0</v>
      </c>
      <c r="H71" s="35">
        <f>IF(H$67&gt;$F38,$F38-SUM(H$68:H70),H$67-SUM(H$68:H70))*VLOOKUP($C71,$C$50:$G$53,5,FALSE)</f>
        <v>0</v>
      </c>
      <c r="I71" s="35">
        <f>IF(I$67&gt;$F38,$F38-SUM(I$68:I70),I$67-SUM(I$68:I70))*VLOOKUP($C71,$C$50:$G$53,5,FALSE)</f>
        <v>0</v>
      </c>
      <c r="J71" s="35">
        <f>IF(J$67&gt;$F38,$F38-SUM(J$68:J70),J$67-SUM(J$68:J70))*VLOOKUP($C71,$C$50:$G$53,5,FALSE)</f>
        <v>0</v>
      </c>
      <c r="K71" s="35">
        <f>IF(K$67&gt;$F38,$F38-SUM(K$68:K70),K$67-SUM(K$68:K70))*VLOOKUP($C71,$C$50:$G$53,5,FALSE)</f>
        <v>0</v>
      </c>
      <c r="L71" s="35">
        <f>IF(L$67&gt;$F38,$F38-SUM(L$68:L70),L$67-SUM(L$68:L70))*VLOOKUP($C71,$C$50:$G$53,5,FALSE)</f>
        <v>0</v>
      </c>
      <c r="M71" s="35">
        <f>IF(M$67&gt;$F38,$F38-SUM(M$68:M70),M$67-SUM(M$68:M70))*VLOOKUP($C71,$C$50:$G$53,5,FALSE)</f>
        <v>0</v>
      </c>
      <c r="N71" s="35">
        <f>IF(N$67&gt;$F38,$F38-SUM(N$68:N70),N$67-SUM(N$68:N70))*VLOOKUP($C71,$C$50:$G$53,5,FALSE)</f>
        <v>0</v>
      </c>
      <c r="O71" s="35">
        <f>IF(O$67&gt;$F38,$F38-SUM(O$68:O70),O$67-SUM(O$68:O70))*VLOOKUP($C71,$C$50:$G$53,5,FALSE)</f>
        <v>0</v>
      </c>
      <c r="P71" s="35">
        <f>IF(P$67&gt;$F38,$F38-SUM(P$68:P70),P$67-SUM(P$68:P70))*VLOOKUP($C71,$C$50:$G$53,5,FALSE)</f>
        <v>0</v>
      </c>
    </row>
    <row r="72" spans="3:16" s="33" customFormat="1" hidden="1" outlineLevel="1" x14ac:dyDescent="0.4">
      <c r="C72" s="38" t="s">
        <v>38</v>
      </c>
      <c r="D72" s="34" t="s">
        <v>14</v>
      </c>
      <c r="E72" s="35">
        <f>IF(E$67&gt;$F39,$F39-SUM(E$68:E71),E$67-SUM(E$68:E71))*VLOOKUP($C72,$C$50:$G$53,5,FALSE)</f>
        <v>0</v>
      </c>
      <c r="F72" s="35">
        <f>IF(F$67&gt;$F39,$F39-SUM(F$68:F71),F$67-SUM(F$68:F71))*VLOOKUP($C72,$C$50:$G$53,5,FALSE)</f>
        <v>0</v>
      </c>
      <c r="G72" s="35">
        <f>IF(G$67&gt;$F39,$F39-SUM(G$68:G71),G$67-SUM(G$68:G71))*VLOOKUP($C72,$C$50:$G$53,5,FALSE)</f>
        <v>0</v>
      </c>
      <c r="H72" s="35">
        <f>IF(H$67&gt;$F39,$F39-SUM(H$68:H71),H$67-SUM(H$68:H71))*VLOOKUP($C72,$C$50:$G$53,5,FALSE)</f>
        <v>0</v>
      </c>
      <c r="I72" s="35">
        <f>IF(I$67&gt;$F39,$F39-SUM(I$68:I71),I$67-SUM(I$68:I71))*VLOOKUP($C72,$C$50:$G$53,5,FALSE)</f>
        <v>0</v>
      </c>
      <c r="J72" s="35">
        <f>IF(J$67&gt;$F39,$F39-SUM(J$68:J71),J$67-SUM(J$68:J71))*VLOOKUP($C72,$C$50:$G$53,5,FALSE)</f>
        <v>0</v>
      </c>
      <c r="K72" s="35">
        <f>IF(K$67&gt;$F39,$F39-SUM(K$68:K71),K$67-SUM(K$68:K71))*VLOOKUP($C72,$C$50:$G$53,5,FALSE)</f>
        <v>0</v>
      </c>
      <c r="L72" s="35">
        <f>IF(L$67&gt;$F39,$F39-SUM(L$68:L71),L$67-SUM(L$68:L71))*VLOOKUP($C72,$C$50:$G$53,5,FALSE)</f>
        <v>0</v>
      </c>
      <c r="M72" s="35">
        <f>IF(M$67&gt;$F39,$F39-SUM(M$68:M71),M$67-SUM(M$68:M71))*VLOOKUP($C72,$C$50:$G$53,5,FALSE)</f>
        <v>0</v>
      </c>
      <c r="N72" s="35">
        <f>IF(N$67&gt;$F39,$F39-SUM(N$68:N71),N$67-SUM(N$68:N71))*VLOOKUP($C72,$C$50:$G$53,5,FALSE)</f>
        <v>0</v>
      </c>
      <c r="O72" s="35">
        <f>IF(O$67&gt;$F39,$F39-SUM(O$68:O71),O$67-SUM(O$68:O71))*VLOOKUP($C72,$C$50:$G$53,5,FALSE)</f>
        <v>0</v>
      </c>
      <c r="P72" s="35">
        <f>IF(P$67&gt;$F39,$F39-SUM(P$68:P71),P$67-SUM(P$68:P71))*VLOOKUP($C72,$C$50:$G$53,5,FALSE)</f>
        <v>0</v>
      </c>
    </row>
    <row r="73" spans="3:16" s="33" customFormat="1" hidden="1" outlineLevel="1" x14ac:dyDescent="0.4">
      <c r="C73" s="38" t="s">
        <v>38</v>
      </c>
      <c r="D73" s="34" t="s">
        <v>15</v>
      </c>
      <c r="E73" s="35">
        <f>IF(E$67&gt;$F40,$F40-SUM(E$68:E72),E$67-SUM(E$68:E72))*VLOOKUP($C73,$C$50:$G$53,5,FALSE)</f>
        <v>0</v>
      </c>
      <c r="F73" s="35">
        <f>IF(F$67&gt;$F40,$F40-SUM(F$68:F72),F$67-SUM(F$68:F72))*VLOOKUP($C73,$C$50:$G$53,5,FALSE)</f>
        <v>0</v>
      </c>
      <c r="G73" s="35">
        <f>IF(G$67&gt;$F40,$F40-SUM(G$68:G72),G$67-SUM(G$68:G72))*VLOOKUP($C73,$C$50:$G$53,5,FALSE)</f>
        <v>0</v>
      </c>
      <c r="H73" s="35">
        <f>IF(H$67&gt;$F40,$F40-SUM(H$68:H72),H$67-SUM(H$68:H72))*VLOOKUP($C73,$C$50:$G$53,5,FALSE)</f>
        <v>0</v>
      </c>
      <c r="I73" s="35">
        <f>IF(I$67&gt;$F40,$F40-SUM(I$68:I72),I$67-SUM(I$68:I72))*VLOOKUP($C73,$C$50:$G$53,5,FALSE)</f>
        <v>0</v>
      </c>
      <c r="J73" s="35">
        <f>IF(J$67&gt;$F40,$F40-SUM(J$68:J72),J$67-SUM(J$68:J72))*VLOOKUP($C73,$C$50:$G$53,5,FALSE)</f>
        <v>0</v>
      </c>
      <c r="K73" s="35">
        <f>IF(K$67&gt;$F40,$F40-SUM(K$68:K72),K$67-SUM(K$68:K72))*VLOOKUP($C73,$C$50:$G$53,5,FALSE)</f>
        <v>0</v>
      </c>
      <c r="L73" s="35">
        <f>IF(L$67&gt;$F40,$F40-SUM(L$68:L72),L$67-SUM(L$68:L72))*VLOOKUP($C73,$C$50:$G$53,5,FALSE)</f>
        <v>0</v>
      </c>
      <c r="M73" s="35">
        <f>IF(M$67&gt;$F40,$F40-SUM(M$68:M72),M$67-SUM(M$68:M72))*VLOOKUP($C73,$C$50:$G$53,5,FALSE)</f>
        <v>0</v>
      </c>
      <c r="N73" s="35">
        <f>IF(N$67&gt;$F40,$F40-SUM(N$68:N72),N$67-SUM(N$68:N72))*VLOOKUP($C73,$C$50:$G$53,5,FALSE)</f>
        <v>0</v>
      </c>
      <c r="O73" s="35">
        <f>IF(O$67&gt;$F40,$F40-SUM(O$68:O72),O$67-SUM(O$68:O72))*VLOOKUP($C73,$C$50:$G$53,5,FALSE)</f>
        <v>0</v>
      </c>
      <c r="P73" s="35">
        <f>IF(P$67&gt;$F40,$F40-SUM(P$68:P72),P$67-SUM(P$68:P72))*VLOOKUP($C73,$C$50:$G$53,5,FALSE)</f>
        <v>0</v>
      </c>
    </row>
    <row r="74" spans="3:16" x14ac:dyDescent="0.4">
      <c r="C74" s="38" t="s">
        <v>38</v>
      </c>
      <c r="D74" t="s">
        <v>45</v>
      </c>
      <c r="E74" s="4">
        <f>E$14*$H$51</f>
        <v>32617.5</v>
      </c>
      <c r="F74" s="4">
        <f t="shared" ref="F74:P74" si="23">F$14*$H$51</f>
        <v>34295.5</v>
      </c>
      <c r="G74" s="4">
        <f t="shared" si="23"/>
        <v>37517.5</v>
      </c>
      <c r="H74" s="4">
        <f t="shared" si="23"/>
        <v>41479.086204759893</v>
      </c>
      <c r="I74" s="4">
        <f t="shared" si="23"/>
        <v>45527.66098785917</v>
      </c>
      <c r="J74" s="4">
        <f t="shared" si="23"/>
        <v>49013.822777364185</v>
      </c>
      <c r="K74" s="4">
        <f t="shared" si="23"/>
        <v>52470.369254878227</v>
      </c>
      <c r="L74" s="4">
        <f t="shared" si="23"/>
        <v>55915.419145401189</v>
      </c>
      <c r="M74" s="4">
        <f t="shared" si="23"/>
        <v>59681.786542028836</v>
      </c>
      <c r="N74" s="4">
        <f t="shared" si="23"/>
        <v>63326.452387767225</v>
      </c>
      <c r="O74" s="4">
        <f t="shared" si="23"/>
        <v>65349.123727735277</v>
      </c>
      <c r="P74" s="4">
        <f t="shared" si="23"/>
        <v>65912.621676267096</v>
      </c>
    </row>
    <row r="75" spans="3:16" x14ac:dyDescent="0.4">
      <c r="C75" s="38" t="s">
        <v>38</v>
      </c>
      <c r="D75" s="1" t="s">
        <v>41</v>
      </c>
      <c r="E75" s="32">
        <f>E58+E67+E74</f>
        <v>128220.3</v>
      </c>
      <c r="F75" s="32">
        <f t="shared" ref="F75:P75" si="24">F58+F67+F74</f>
        <v>132249.09999999998</v>
      </c>
      <c r="G75" s="32">
        <f t="shared" si="24"/>
        <v>146382.70000000001</v>
      </c>
      <c r="H75" s="32">
        <f t="shared" si="24"/>
        <v>161300.47586641269</v>
      </c>
      <c r="I75" s="32">
        <f t="shared" si="24"/>
        <v>175949.6522855162</v>
      </c>
      <c r="J75" s="32">
        <f t="shared" si="24"/>
        <v>187348.21664310433</v>
      </c>
      <c r="K75" s="32">
        <f t="shared" si="24"/>
        <v>199655.0469338515</v>
      </c>
      <c r="L75" s="32">
        <f t="shared" si="24"/>
        <v>211886.26552342129</v>
      </c>
      <c r="M75" s="32">
        <f t="shared" si="24"/>
        <v>225929.53037804054</v>
      </c>
      <c r="N75" s="32">
        <f t="shared" si="24"/>
        <v>238602.93621376241</v>
      </c>
      <c r="O75" s="32">
        <f t="shared" si="24"/>
        <v>242226.67396042543</v>
      </c>
      <c r="P75" s="32">
        <f t="shared" si="24"/>
        <v>247501.91359506769</v>
      </c>
    </row>
    <row r="76" spans="3:16" ht="12.5" customHeight="1" x14ac:dyDescent="0.4"/>
    <row r="77" spans="3:16" x14ac:dyDescent="0.4">
      <c r="C77" s="38"/>
      <c r="D77" s="1" t="s">
        <v>42</v>
      </c>
      <c r="E77" s="3">
        <v>46053</v>
      </c>
      <c r="F77" s="3">
        <f>EOMONTH(E77,1)</f>
        <v>46081</v>
      </c>
      <c r="G77" s="3">
        <f t="shared" ref="G77:P77" si="25">EOMONTH(F77,1)</f>
        <v>46112</v>
      </c>
      <c r="H77" s="3">
        <f t="shared" si="25"/>
        <v>46142</v>
      </c>
      <c r="I77" s="3">
        <f t="shared" si="25"/>
        <v>46173</v>
      </c>
      <c r="J77" s="3">
        <f t="shared" si="25"/>
        <v>46203</v>
      </c>
      <c r="K77" s="3">
        <f t="shared" si="25"/>
        <v>46234</v>
      </c>
      <c r="L77" s="3">
        <f t="shared" si="25"/>
        <v>46265</v>
      </c>
      <c r="M77" s="3">
        <f t="shared" si="25"/>
        <v>46295</v>
      </c>
      <c r="N77" s="3">
        <f t="shared" si="25"/>
        <v>46326</v>
      </c>
      <c r="O77" s="3">
        <f t="shared" si="25"/>
        <v>46356</v>
      </c>
      <c r="P77" s="3">
        <f t="shared" si="25"/>
        <v>46387</v>
      </c>
    </row>
    <row r="78" spans="3:16" x14ac:dyDescent="0.4">
      <c r="C78" s="38" t="s">
        <v>38</v>
      </c>
      <c r="D78" t="s">
        <v>49</v>
      </c>
      <c r="E78" s="4">
        <f>SUMPRODUCT(E59:E66,$G$24:$G$31)*1.18*$E$4</f>
        <v>52236.216600599997</v>
      </c>
      <c r="F78" s="4">
        <f t="shared" ref="F78:P78" si="26">SUMPRODUCT(F59:F66,$G$24:$G$31)*1.18*$E$4</f>
        <v>56264.267957699994</v>
      </c>
      <c r="G78" s="4">
        <f t="shared" si="26"/>
        <v>57817.790868899989</v>
      </c>
      <c r="H78" s="4">
        <f t="shared" si="26"/>
        <v>59457.508038808475</v>
      </c>
      <c r="I78" s="4">
        <f t="shared" si="26"/>
        <v>60576.435756360705</v>
      </c>
      <c r="J78" s="4">
        <f t="shared" si="26"/>
        <v>61226.085533357087</v>
      </c>
      <c r="K78" s="4">
        <f t="shared" si="26"/>
        <v>61927.501018947929</v>
      </c>
      <c r="L78" s="4">
        <f t="shared" si="26"/>
        <v>62618.820953663533</v>
      </c>
      <c r="M78" s="4">
        <f t="shared" si="26"/>
        <v>63396.334738298443</v>
      </c>
      <c r="N78" s="4">
        <f t="shared" si="26"/>
        <v>64098.00545643668</v>
      </c>
      <c r="O78" s="4">
        <f t="shared" si="26"/>
        <v>64298.635871023325</v>
      </c>
      <c r="P78" s="4">
        <f t="shared" si="26"/>
        <v>64590.702678539077</v>
      </c>
    </row>
    <row r="79" spans="3:16" x14ac:dyDescent="0.4">
      <c r="C79" s="38" t="s">
        <v>38</v>
      </c>
      <c r="D79" t="s">
        <v>50</v>
      </c>
      <c r="E79" s="4">
        <f>SUMPRODUCT(E68:E73,$G$35:$G$40)*1.18*$E$4</f>
        <v>0</v>
      </c>
      <c r="F79" s="4">
        <f t="shared" ref="F79:P79" si="27">SUMPRODUCT(F68:F73,$G$35:$G$40)*1.18*$E$4</f>
        <v>0</v>
      </c>
      <c r="G79" s="4">
        <f t="shared" si="27"/>
        <v>0</v>
      </c>
      <c r="H79" s="4">
        <f t="shared" si="27"/>
        <v>0</v>
      </c>
      <c r="I79" s="4">
        <f t="shared" si="27"/>
        <v>0</v>
      </c>
      <c r="J79" s="4">
        <f t="shared" si="27"/>
        <v>0</v>
      </c>
      <c r="K79" s="4">
        <f t="shared" si="27"/>
        <v>0</v>
      </c>
      <c r="L79" s="4">
        <f t="shared" si="27"/>
        <v>0</v>
      </c>
      <c r="M79" s="4">
        <f t="shared" si="27"/>
        <v>0</v>
      </c>
      <c r="N79" s="4">
        <f t="shared" si="27"/>
        <v>0</v>
      </c>
      <c r="O79" s="4">
        <f t="shared" si="27"/>
        <v>0</v>
      </c>
      <c r="P79" s="4">
        <f t="shared" si="27"/>
        <v>0</v>
      </c>
    </row>
    <row r="80" spans="3:16" x14ac:dyDescent="0.4">
      <c r="C80" s="38" t="s">
        <v>38</v>
      </c>
      <c r="D80" t="s">
        <v>51</v>
      </c>
      <c r="E80" s="4">
        <f>E74*$G$44*1.18*$E$4</f>
        <v>2190.9664012500002</v>
      </c>
      <c r="F80" s="4">
        <f t="shared" ref="F80:P80" si="28">F74*$G$44*1.18*$E$4</f>
        <v>2303.6801782500002</v>
      </c>
      <c r="G80" s="4">
        <f t="shared" si="28"/>
        <v>2520.1067512500003</v>
      </c>
      <c r="H80" s="4">
        <f t="shared" si="28"/>
        <v>2786.212439003029</v>
      </c>
      <c r="I80" s="4">
        <f t="shared" si="28"/>
        <v>3058.1612800459825</v>
      </c>
      <c r="J80" s="4">
        <f t="shared" si="28"/>
        <v>3292.3319966897184</v>
      </c>
      <c r="K80" s="4">
        <f t="shared" si="28"/>
        <v>3524.5134084040533</v>
      </c>
      <c r="L80" s="4">
        <f t="shared" si="28"/>
        <v>3755.9225771253164</v>
      </c>
      <c r="M80" s="4">
        <f t="shared" si="28"/>
        <v>4008.9151247078898</v>
      </c>
      <c r="N80" s="4">
        <f t="shared" si="28"/>
        <v>4253.7327965649065</v>
      </c>
      <c r="O80" s="4">
        <f t="shared" si="28"/>
        <v>4389.5986644775703</v>
      </c>
      <c r="P80" s="4">
        <f t="shared" si="28"/>
        <v>4427.4496669273758</v>
      </c>
    </row>
    <row r="81" spans="3:16" x14ac:dyDescent="0.4">
      <c r="C81" s="38" t="s">
        <v>38</v>
      </c>
      <c r="D81" s="1" t="s">
        <v>52</v>
      </c>
      <c r="E81" s="32">
        <f>E78+E79+E80</f>
        <v>54427.183001849997</v>
      </c>
      <c r="F81" s="32">
        <f t="shared" ref="F81:P81" si="29">F78+F79+F80</f>
        <v>58567.948135949991</v>
      </c>
      <c r="G81" s="32">
        <f t="shared" si="29"/>
        <v>60337.89762014999</v>
      </c>
      <c r="H81" s="32">
        <f t="shared" si="29"/>
        <v>62243.720477811505</v>
      </c>
      <c r="I81" s="32">
        <f t="shared" si="29"/>
        <v>63634.597036406689</v>
      </c>
      <c r="J81" s="32">
        <f t="shared" si="29"/>
        <v>64518.417530046805</v>
      </c>
      <c r="K81" s="32">
        <f t="shared" si="29"/>
        <v>65452.014427351984</v>
      </c>
      <c r="L81" s="32">
        <f t="shared" si="29"/>
        <v>66374.743530788852</v>
      </c>
      <c r="M81" s="32">
        <f t="shared" si="29"/>
        <v>67405.249863006335</v>
      </c>
      <c r="N81" s="32">
        <f t="shared" si="29"/>
        <v>68351.738253001589</v>
      </c>
      <c r="O81" s="32">
        <f t="shared" si="29"/>
        <v>68688.234535500902</v>
      </c>
      <c r="P81" s="32">
        <f t="shared" si="29"/>
        <v>69018.152345466457</v>
      </c>
    </row>
    <row r="82" spans="3:16" ht="12.5" customHeight="1" x14ac:dyDescent="0.4"/>
    <row r="83" spans="3:16" x14ac:dyDescent="0.4">
      <c r="D83" s="31" t="s">
        <v>26</v>
      </c>
    </row>
    <row r="85" spans="3:16" x14ac:dyDescent="0.4">
      <c r="D85" s="1" t="s">
        <v>42</v>
      </c>
      <c r="E85" s="3">
        <v>46053</v>
      </c>
      <c r="F85" s="3">
        <f>EOMONTH(E85,1)</f>
        <v>46081</v>
      </c>
      <c r="G85" s="3">
        <f t="shared" ref="G85:P85" si="30">EOMONTH(F85,1)</f>
        <v>46112</v>
      </c>
      <c r="H85" s="3">
        <f t="shared" si="30"/>
        <v>46142</v>
      </c>
      <c r="I85" s="3">
        <f t="shared" si="30"/>
        <v>46173</v>
      </c>
      <c r="J85" s="3">
        <f t="shared" si="30"/>
        <v>46203</v>
      </c>
      <c r="K85" s="3">
        <f t="shared" si="30"/>
        <v>46234</v>
      </c>
      <c r="L85" s="3">
        <f t="shared" si="30"/>
        <v>46265</v>
      </c>
      <c r="M85" s="3">
        <f t="shared" si="30"/>
        <v>46295</v>
      </c>
      <c r="N85" s="3">
        <f t="shared" si="30"/>
        <v>46326</v>
      </c>
      <c r="O85" s="3">
        <f t="shared" si="30"/>
        <v>46356</v>
      </c>
      <c r="P85" s="3">
        <f t="shared" si="30"/>
        <v>46387</v>
      </c>
    </row>
    <row r="86" spans="3:16" collapsed="1" x14ac:dyDescent="0.4">
      <c r="C86" s="36" t="s">
        <v>39</v>
      </c>
      <c r="D86" t="s">
        <v>43</v>
      </c>
      <c r="E86" s="4">
        <f>E$12*VLOOKUP($C86,$C$50:$E$53,3,FALSE)*VLOOKUP($C86,$C$50:$G$53,4,FALSE)</f>
        <v>14340.42</v>
      </c>
      <c r="F86" s="4">
        <f t="shared" ref="F86:P86" si="31">F$12*VLOOKUP($C86,$C$50:$E$53,3,FALSE)*VLOOKUP($C86,$C$50:$G$53,4,FALSE)</f>
        <v>14693.039999999999</v>
      </c>
      <c r="G86" s="4">
        <f t="shared" si="31"/>
        <v>16329.779999999999</v>
      </c>
      <c r="H86" s="4">
        <f t="shared" si="31"/>
        <v>17973.208449247919</v>
      </c>
      <c r="I86" s="4">
        <f t="shared" si="31"/>
        <v>19563.298694648558</v>
      </c>
      <c r="J86" s="4">
        <f t="shared" si="31"/>
        <v>20750.15907986102</v>
      </c>
      <c r="K86" s="4">
        <f t="shared" si="31"/>
        <v>22077.70165184599</v>
      </c>
      <c r="L86" s="4">
        <f t="shared" si="31"/>
        <v>23395.626956703014</v>
      </c>
      <c r="M86" s="4">
        <f t="shared" si="31"/>
        <v>24937.161575401755</v>
      </c>
      <c r="N86" s="4">
        <f t="shared" si="31"/>
        <v>26291.472573899275</v>
      </c>
      <c r="O86" s="4">
        <f t="shared" si="31"/>
        <v>26531.632534903521</v>
      </c>
      <c r="P86" s="4">
        <f t="shared" si="31"/>
        <v>27238.393787820089</v>
      </c>
    </row>
    <row r="87" spans="3:16" hidden="1" outlineLevel="1" x14ac:dyDescent="0.4">
      <c r="C87" s="36" t="s">
        <v>39</v>
      </c>
      <c r="D87" s="34" t="s">
        <v>10</v>
      </c>
      <c r="E87" s="35">
        <f t="shared" ref="E87:P87" si="32">IF(E$86&gt;$F24,$F24,0)</f>
        <v>4167</v>
      </c>
      <c r="F87" s="35">
        <f t="shared" si="32"/>
        <v>4167</v>
      </c>
      <c r="G87" s="35">
        <f t="shared" si="32"/>
        <v>4167</v>
      </c>
      <c r="H87" s="35">
        <f t="shared" si="32"/>
        <v>4167</v>
      </c>
      <c r="I87" s="35">
        <f t="shared" si="32"/>
        <v>4167</v>
      </c>
      <c r="J87" s="35">
        <f t="shared" si="32"/>
        <v>4167</v>
      </c>
      <c r="K87" s="35">
        <f t="shared" si="32"/>
        <v>4167</v>
      </c>
      <c r="L87" s="35">
        <f t="shared" si="32"/>
        <v>4167</v>
      </c>
      <c r="M87" s="35">
        <f t="shared" si="32"/>
        <v>4167</v>
      </c>
      <c r="N87" s="35">
        <f t="shared" si="32"/>
        <v>4167</v>
      </c>
      <c r="O87" s="35">
        <f t="shared" si="32"/>
        <v>4167</v>
      </c>
      <c r="P87" s="35">
        <f t="shared" si="32"/>
        <v>4167</v>
      </c>
    </row>
    <row r="88" spans="3:16" hidden="1" outlineLevel="1" x14ac:dyDescent="0.4">
      <c r="C88" s="36" t="s">
        <v>39</v>
      </c>
      <c r="D88" s="34" t="s">
        <v>11</v>
      </c>
      <c r="E88" s="35">
        <f>IF(E$86&gt;$F25,$F25-SUM(E$87:E87),E$86-SUM(E$87:E87))</f>
        <v>4166</v>
      </c>
      <c r="F88" s="35">
        <f>IF(F$86&gt;$F25,$F25-SUM(F$87:F87),F$86-SUM(F$87:F87))</f>
        <v>4166</v>
      </c>
      <c r="G88" s="35">
        <f>IF(G$86&gt;$F25,$F25-SUM(G$87:G87),G$86-SUM(G$87:G87))</f>
        <v>4166</v>
      </c>
      <c r="H88" s="35">
        <f>IF(H$86&gt;$F25,$F25-SUM(H$87:H87),H$86-SUM(H$87:H87))</f>
        <v>4166</v>
      </c>
      <c r="I88" s="35">
        <f>IF(I$86&gt;$F25,$F25-SUM(I$87:I87),I$86-SUM(I$87:I87))</f>
        <v>4166</v>
      </c>
      <c r="J88" s="35">
        <f>IF(J$86&gt;$F25,$F25-SUM(J$87:J87),J$86-SUM(J$87:J87))</f>
        <v>4166</v>
      </c>
      <c r="K88" s="35">
        <f>IF(K$86&gt;$F25,$F25-SUM(K$87:K87),K$86-SUM(K$87:K87))</f>
        <v>4166</v>
      </c>
      <c r="L88" s="35">
        <f>IF(L$86&gt;$F25,$F25-SUM(L$87:L87),L$86-SUM(L$87:L87))</f>
        <v>4166</v>
      </c>
      <c r="M88" s="35">
        <f>IF(M$86&gt;$F25,$F25-SUM(M$87:M87),M$86-SUM(M$87:M87))</f>
        <v>4166</v>
      </c>
      <c r="N88" s="35">
        <f>IF(N$86&gt;$F25,$F25-SUM(N$87:N87),N$86-SUM(N$87:N87))</f>
        <v>4166</v>
      </c>
      <c r="O88" s="35">
        <f>IF(O$86&gt;$F25,$F25-SUM(O$87:O87),O$86-SUM(O$87:O87))</f>
        <v>4166</v>
      </c>
      <c r="P88" s="35">
        <f>IF(P$86&gt;$F25,$F25-SUM(P$87:P87),P$86-SUM(P$87:P87))</f>
        <v>4166</v>
      </c>
    </row>
    <row r="89" spans="3:16" hidden="1" outlineLevel="1" x14ac:dyDescent="0.4">
      <c r="C89" s="36" t="s">
        <v>39</v>
      </c>
      <c r="D89" s="34" t="s">
        <v>12</v>
      </c>
      <c r="E89" s="35">
        <f>IF(E$86&gt;$F26,$F26-SUM(E$87:E88),E$86-SUM(E$87:E88))</f>
        <v>6007.42</v>
      </c>
      <c r="F89" s="35">
        <f>IF(F$86&gt;$F26,$F26-SUM(F$87:F88),F$86-SUM(F$87:F88))</f>
        <v>6360.0399999999991</v>
      </c>
      <c r="G89" s="35">
        <f>IF(G$86&gt;$F26,$F26-SUM(G$87:G88),G$86-SUM(G$87:G88))</f>
        <v>7996.7799999999988</v>
      </c>
      <c r="H89" s="35">
        <f>IF(H$86&gt;$F26,$F26-SUM(H$87:H88),H$86-SUM(H$87:H88))</f>
        <v>9640.2084492479189</v>
      </c>
      <c r="I89" s="35">
        <f>IF(I$86&gt;$F26,$F26-SUM(I$87:I88),I$86-SUM(I$87:I88))</f>
        <v>11230.298694648558</v>
      </c>
      <c r="J89" s="35">
        <f>IF(J$86&gt;$F26,$F26-SUM(J$87:J88),J$86-SUM(J$87:J88))</f>
        <v>12417.15907986102</v>
      </c>
      <c r="K89" s="35">
        <f>IF(K$86&gt;$F26,$F26-SUM(K$87:K88),K$86-SUM(K$87:K88))</f>
        <v>12500</v>
      </c>
      <c r="L89" s="35">
        <f>IF(L$86&gt;$F26,$F26-SUM(L$87:L88),L$86-SUM(L$87:L88))</f>
        <v>12500</v>
      </c>
      <c r="M89" s="35">
        <f>IF(M$86&gt;$F26,$F26-SUM(M$87:M88),M$86-SUM(M$87:M88))</f>
        <v>12500</v>
      </c>
      <c r="N89" s="35">
        <f>IF(N$86&gt;$F26,$F26-SUM(N$87:N88),N$86-SUM(N$87:N88))</f>
        <v>12500</v>
      </c>
      <c r="O89" s="35">
        <f>IF(O$86&gt;$F26,$F26-SUM(O$87:O88),O$86-SUM(O$87:O88))</f>
        <v>12500</v>
      </c>
      <c r="P89" s="35">
        <f>IF(P$86&gt;$F26,$F26-SUM(P$87:P88),P$86-SUM(P$87:P88))</f>
        <v>12500</v>
      </c>
    </row>
    <row r="90" spans="3:16" hidden="1" outlineLevel="1" x14ac:dyDescent="0.4">
      <c r="C90" s="36" t="s">
        <v>39</v>
      </c>
      <c r="D90" s="34" t="s">
        <v>13</v>
      </c>
      <c r="E90" s="35">
        <f>IF(E$86&gt;$F27,$F27-SUM(E$87:E89),E$86-SUM(E$87:E89))</f>
        <v>0</v>
      </c>
      <c r="F90" s="35">
        <f>IF(F$86&gt;$F27,$F27-SUM(F$87:F89),F$86-SUM(F$87:F89))</f>
        <v>0</v>
      </c>
      <c r="G90" s="35">
        <f>IF(G$86&gt;$F27,$F27-SUM(G$87:G89),G$86-SUM(G$87:G89))</f>
        <v>0</v>
      </c>
      <c r="H90" s="35">
        <f>IF(H$86&gt;$F27,$F27-SUM(H$87:H89),H$86-SUM(H$87:H89))</f>
        <v>0</v>
      </c>
      <c r="I90" s="35">
        <f>IF(I$86&gt;$F27,$F27-SUM(I$87:I89),I$86-SUM(I$87:I89))</f>
        <v>0</v>
      </c>
      <c r="J90" s="35">
        <f>IF(J$86&gt;$F27,$F27-SUM(J$87:J89),J$86-SUM(J$87:J89))</f>
        <v>0</v>
      </c>
      <c r="K90" s="35">
        <f>IF(K$86&gt;$F27,$F27-SUM(K$87:K89),K$86-SUM(K$87:K89))</f>
        <v>1244.7016518459895</v>
      </c>
      <c r="L90" s="35">
        <f>IF(L$86&gt;$F27,$F27-SUM(L$87:L89),L$86-SUM(L$87:L89))</f>
        <v>2562.626956703014</v>
      </c>
      <c r="M90" s="35">
        <f>IF(M$86&gt;$F27,$F27-SUM(M$87:M89),M$86-SUM(M$87:M89))</f>
        <v>4104.1615754017548</v>
      </c>
      <c r="N90" s="35">
        <f>IF(N$86&gt;$F27,$F27-SUM(N$87:N89),N$86-SUM(N$87:N89))</f>
        <v>5458.4725738992747</v>
      </c>
      <c r="O90" s="35">
        <f>IF(O$86&gt;$F27,$F27-SUM(O$87:O89),O$86-SUM(O$87:O89))</f>
        <v>5698.6325349035214</v>
      </c>
      <c r="P90" s="35">
        <f>IF(P$86&gt;$F27,$F27-SUM(P$87:P89),P$86-SUM(P$87:P89))</f>
        <v>6405.3937878200886</v>
      </c>
    </row>
    <row r="91" spans="3:16" hidden="1" outlineLevel="1" x14ac:dyDescent="0.4">
      <c r="C91" s="36" t="s">
        <v>39</v>
      </c>
      <c r="D91" s="34" t="s">
        <v>14</v>
      </c>
      <c r="E91" s="35">
        <f>IF(E$86&gt;$F28,$F28-SUM(E$87:E90),E$86-SUM(E$87:E90))</f>
        <v>0</v>
      </c>
      <c r="F91" s="35">
        <f>IF(F$86&gt;$F28,$F28-SUM(F$87:F90),F$86-SUM(F$87:F90))</f>
        <v>0</v>
      </c>
      <c r="G91" s="35">
        <f>IF(G$86&gt;$F28,$F28-SUM(G$87:G90),G$86-SUM(G$87:G90))</f>
        <v>0</v>
      </c>
      <c r="H91" s="35">
        <f>IF(H$86&gt;$F28,$F28-SUM(H$87:H90),H$86-SUM(H$87:H90))</f>
        <v>0</v>
      </c>
      <c r="I91" s="35">
        <f>IF(I$86&gt;$F28,$F28-SUM(I$87:I90),I$86-SUM(I$87:I90))</f>
        <v>0</v>
      </c>
      <c r="J91" s="35">
        <f>IF(J$86&gt;$F28,$F28-SUM(J$87:J90),J$86-SUM(J$87:J90))</f>
        <v>0</v>
      </c>
      <c r="K91" s="35">
        <f>IF(K$86&gt;$F28,$F28-SUM(K$87:K90),K$86-SUM(K$87:K90))</f>
        <v>0</v>
      </c>
      <c r="L91" s="35">
        <f>IF(L$86&gt;$F28,$F28-SUM(L$87:L90),L$86-SUM(L$87:L90))</f>
        <v>0</v>
      </c>
      <c r="M91" s="35">
        <f>IF(M$86&gt;$F28,$F28-SUM(M$87:M90),M$86-SUM(M$87:M90))</f>
        <v>0</v>
      </c>
      <c r="N91" s="35">
        <f>IF(N$86&gt;$F28,$F28-SUM(N$87:N90),N$86-SUM(N$87:N90))</f>
        <v>0</v>
      </c>
      <c r="O91" s="35">
        <f>IF(O$86&gt;$F28,$F28-SUM(O$87:O90),O$86-SUM(O$87:O90))</f>
        <v>0</v>
      </c>
      <c r="P91" s="35">
        <f>IF(P$86&gt;$F28,$F28-SUM(P$87:P90),P$86-SUM(P$87:P90))</f>
        <v>0</v>
      </c>
    </row>
    <row r="92" spans="3:16" hidden="1" outlineLevel="1" x14ac:dyDescent="0.4">
      <c r="C92" s="36" t="s">
        <v>39</v>
      </c>
      <c r="D92" s="34" t="s">
        <v>15</v>
      </c>
      <c r="E92" s="35">
        <f>IF(E$86&gt;$F29,$F29-SUM(E$87:E91),E$86-SUM(E$87:E91))</f>
        <v>0</v>
      </c>
      <c r="F92" s="35">
        <f>IF(F$86&gt;$F29,$F29-SUM(F$87:F91),F$86-SUM(F$87:F91))</f>
        <v>0</v>
      </c>
      <c r="G92" s="35">
        <f>IF(G$86&gt;$F29,$F29-SUM(G$87:G91),G$86-SUM(G$87:G91))</f>
        <v>0</v>
      </c>
      <c r="H92" s="35">
        <f>IF(H$86&gt;$F29,$F29-SUM(H$87:H91),H$86-SUM(H$87:H91))</f>
        <v>0</v>
      </c>
      <c r="I92" s="35">
        <f>IF(I$86&gt;$F29,$F29-SUM(I$87:I91),I$86-SUM(I$87:I91))</f>
        <v>0</v>
      </c>
      <c r="J92" s="35">
        <f>IF(J$86&gt;$F29,$F29-SUM(J$87:J91),J$86-SUM(J$87:J91))</f>
        <v>0</v>
      </c>
      <c r="K92" s="35">
        <f>IF(K$86&gt;$F29,$F29-SUM(K$87:K91),K$86-SUM(K$87:K91))</f>
        <v>0</v>
      </c>
      <c r="L92" s="35">
        <f>IF(L$86&gt;$F29,$F29-SUM(L$87:L91),L$86-SUM(L$87:L91))</f>
        <v>0</v>
      </c>
      <c r="M92" s="35">
        <f>IF(M$86&gt;$F29,$F29-SUM(M$87:M91),M$86-SUM(M$87:M91))</f>
        <v>0</v>
      </c>
      <c r="N92" s="35">
        <f>IF(N$86&gt;$F29,$F29-SUM(N$87:N91),N$86-SUM(N$87:N91))</f>
        <v>0</v>
      </c>
      <c r="O92" s="35">
        <f>IF(O$86&gt;$F29,$F29-SUM(O$87:O91),O$86-SUM(O$87:O91))</f>
        <v>0</v>
      </c>
      <c r="P92" s="35">
        <f>IF(P$86&gt;$F29,$F29-SUM(P$87:P91),P$86-SUM(P$87:P91))</f>
        <v>0</v>
      </c>
    </row>
    <row r="93" spans="3:16" hidden="1" outlineLevel="1" x14ac:dyDescent="0.4">
      <c r="C93" s="36" t="s">
        <v>39</v>
      </c>
      <c r="D93" s="34" t="s">
        <v>16</v>
      </c>
      <c r="E93" s="35">
        <f>IF(E$86&gt;$F30,$F30-SUM(E$87:E92),E$86-SUM(E$87:E92))</f>
        <v>0</v>
      </c>
      <c r="F93" s="35">
        <f>IF(F$86&gt;$F30,$F30-SUM(F$87:F92),F$86-SUM(F$87:F92))</f>
        <v>0</v>
      </c>
      <c r="G93" s="35">
        <f>IF(G$86&gt;$F30,$F30-SUM(G$87:G92),G$86-SUM(G$87:G92))</f>
        <v>0</v>
      </c>
      <c r="H93" s="35">
        <f>IF(H$86&gt;$F30,$F30-SUM(H$87:H92),H$86-SUM(H$87:H92))</f>
        <v>0</v>
      </c>
      <c r="I93" s="35">
        <f>IF(I$86&gt;$F30,$F30-SUM(I$87:I92),I$86-SUM(I$87:I92))</f>
        <v>0</v>
      </c>
      <c r="J93" s="35">
        <f>IF(J$86&gt;$F30,$F30-SUM(J$87:J92),J$86-SUM(J$87:J92))</f>
        <v>0</v>
      </c>
      <c r="K93" s="35">
        <f>IF(K$86&gt;$F30,$F30-SUM(K$87:K92),K$86-SUM(K$87:K92))</f>
        <v>0</v>
      </c>
      <c r="L93" s="35">
        <f>IF(L$86&gt;$F30,$F30-SUM(L$87:L92),L$86-SUM(L$87:L92))</f>
        <v>0</v>
      </c>
      <c r="M93" s="35">
        <f>IF(M$86&gt;$F30,$F30-SUM(M$87:M92),M$86-SUM(M$87:M92))</f>
        <v>0</v>
      </c>
      <c r="N93" s="35">
        <f>IF(N$86&gt;$F30,$F30-SUM(N$87:N92),N$86-SUM(N$87:N92))</f>
        <v>0</v>
      </c>
      <c r="O93" s="35">
        <f>IF(O$86&gt;$F30,$F30-SUM(O$87:O92),O$86-SUM(O$87:O92))</f>
        <v>0</v>
      </c>
      <c r="P93" s="35">
        <f>IF(P$86&gt;$F30,$F30-SUM(P$87:P92),P$86-SUM(P$87:P92))</f>
        <v>0</v>
      </c>
    </row>
    <row r="94" spans="3:16" hidden="1" outlineLevel="1" x14ac:dyDescent="0.4">
      <c r="C94" s="36" t="s">
        <v>39</v>
      </c>
      <c r="D94" s="34" t="s">
        <v>17</v>
      </c>
      <c r="E94" s="35">
        <f>IF(E$86&gt;$F31,$F31-SUM(E$87:E93),E$86-SUM(E$87:E93))</f>
        <v>0</v>
      </c>
      <c r="F94" s="35">
        <f>IF(F$86&gt;$F31,$F31-SUM(F$87:F93),F$86-SUM(F$87:F93))</f>
        <v>0</v>
      </c>
      <c r="G94" s="35">
        <f>IF(G$86&gt;$F31,$F31-SUM(G$87:G93),G$86-SUM(G$87:G93))</f>
        <v>0</v>
      </c>
      <c r="H94" s="35">
        <f>IF(H$86&gt;$F31,$F31-SUM(H$87:H93),H$86-SUM(H$87:H93))</f>
        <v>0</v>
      </c>
      <c r="I94" s="35">
        <f>IF(I$86&gt;$F31,$F31-SUM(I$87:I93),I$86-SUM(I$87:I93))</f>
        <v>0</v>
      </c>
      <c r="J94" s="35">
        <f>IF(J$86&gt;$F31,$F31-SUM(J$87:J93),J$86-SUM(J$87:J93))</f>
        <v>0</v>
      </c>
      <c r="K94" s="35">
        <f>IF(K$86&gt;$F31,$F31-SUM(K$87:K93),K$86-SUM(K$87:K93))</f>
        <v>0</v>
      </c>
      <c r="L94" s="35">
        <f>IF(L$86&gt;$F31,$F31-SUM(L$87:L93),L$86-SUM(L$87:L93))</f>
        <v>0</v>
      </c>
      <c r="M94" s="35">
        <f>IF(M$86&gt;$F31,$F31-SUM(M$87:M93),M$86-SUM(M$87:M93))</f>
        <v>0</v>
      </c>
      <c r="N94" s="35">
        <f>IF(N$86&gt;$F31,$F31-SUM(N$87:N93),N$86-SUM(N$87:N93))</f>
        <v>0</v>
      </c>
      <c r="O94" s="35">
        <f>IF(O$86&gt;$F31,$F31-SUM(O$87:O93),O$86-SUM(O$87:O93))</f>
        <v>0</v>
      </c>
      <c r="P94" s="35">
        <f>IF(P$86&gt;$F31,$F31-SUM(P$87:P93),P$86-SUM(P$87:P93))</f>
        <v>0</v>
      </c>
    </row>
    <row r="95" spans="3:16" collapsed="1" x14ac:dyDescent="0.4">
      <c r="C95" s="36" t="s">
        <v>39</v>
      </c>
      <c r="D95" t="s">
        <v>44</v>
      </c>
      <c r="E95" s="4">
        <f>E$12*VLOOKUP($C95,$C$50:$E$53,3,FALSE)*VLOOKUP($C95,$C$50:$G$53,5,FALSE)</f>
        <v>81262.38</v>
      </c>
      <c r="F95" s="4">
        <f t="shared" ref="F95:P95" si="33">F$12*VLOOKUP($C95,$C$50:$E$53,3,FALSE)*VLOOKUP($C95,$C$50:$G$53,5,FALSE)</f>
        <v>83260.56</v>
      </c>
      <c r="G95" s="4">
        <f t="shared" si="33"/>
        <v>92535.42</v>
      </c>
      <c r="H95" s="4">
        <f t="shared" si="33"/>
        <v>101848.18121240487</v>
      </c>
      <c r="I95" s="4">
        <f t="shared" si="33"/>
        <v>110858.69260300849</v>
      </c>
      <c r="J95" s="4">
        <f t="shared" si="33"/>
        <v>117584.2347858791</v>
      </c>
      <c r="K95" s="4">
        <f t="shared" si="33"/>
        <v>125106.97602712727</v>
      </c>
      <c r="L95" s="4">
        <f t="shared" si="33"/>
        <v>132575.21942131707</v>
      </c>
      <c r="M95" s="4">
        <f t="shared" si="33"/>
        <v>141310.58226060995</v>
      </c>
      <c r="N95" s="4">
        <f t="shared" si="33"/>
        <v>148985.01125209589</v>
      </c>
      <c r="O95" s="4">
        <f t="shared" si="33"/>
        <v>150345.91769778662</v>
      </c>
      <c r="P95" s="4">
        <f t="shared" si="33"/>
        <v>154350.89813098049</v>
      </c>
    </row>
    <row r="96" spans="3:16" hidden="1" outlineLevel="1" x14ac:dyDescent="0.4">
      <c r="C96" s="36" t="s">
        <v>39</v>
      </c>
      <c r="D96" s="34" t="s">
        <v>10</v>
      </c>
      <c r="E96" s="35">
        <f t="shared" ref="E96:P96" si="34">IF(E$95&gt;$F35,$F35,0)</f>
        <v>27500</v>
      </c>
      <c r="F96" s="35">
        <f t="shared" si="34"/>
        <v>27500</v>
      </c>
      <c r="G96" s="35">
        <f t="shared" si="34"/>
        <v>27500</v>
      </c>
      <c r="H96" s="35">
        <f t="shared" si="34"/>
        <v>27500</v>
      </c>
      <c r="I96" s="35">
        <f t="shared" si="34"/>
        <v>27500</v>
      </c>
      <c r="J96" s="35">
        <f t="shared" si="34"/>
        <v>27500</v>
      </c>
      <c r="K96" s="35">
        <f t="shared" si="34"/>
        <v>27500</v>
      </c>
      <c r="L96" s="35">
        <f t="shared" si="34"/>
        <v>27500</v>
      </c>
      <c r="M96" s="35">
        <f t="shared" si="34"/>
        <v>27500</v>
      </c>
      <c r="N96" s="35">
        <f t="shared" si="34"/>
        <v>27500</v>
      </c>
      <c r="O96" s="35">
        <f t="shared" si="34"/>
        <v>27500</v>
      </c>
      <c r="P96" s="35">
        <f t="shared" si="34"/>
        <v>27500</v>
      </c>
    </row>
    <row r="97" spans="3:16" hidden="1" outlineLevel="1" x14ac:dyDescent="0.4">
      <c r="C97" s="36" t="s">
        <v>39</v>
      </c>
      <c r="D97" s="34" t="s">
        <v>11</v>
      </c>
      <c r="E97" s="35">
        <f>IF(E$95&gt;$F36,$F36-SUM(E$96:E96),E$95-SUM(E$96:E96))</f>
        <v>27500</v>
      </c>
      <c r="F97" s="35">
        <f>IF(F$95&gt;$F36,$F36-SUM(F$96:F96),F$95-SUM(F$96:F96))</f>
        <v>27500</v>
      </c>
      <c r="G97" s="35">
        <f>IF(G$95&gt;$F36,$F36-SUM(G$96:G96),G$95-SUM(G$96:G96))</f>
        <v>27500</v>
      </c>
      <c r="H97" s="35">
        <f>IF(H$95&gt;$F36,$F36-SUM(H$96:H96),H$95-SUM(H$96:H96))</f>
        <v>27500</v>
      </c>
      <c r="I97" s="35">
        <f>IF(I$95&gt;$F36,$F36-SUM(I$96:I96),I$95-SUM(I$96:I96))</f>
        <v>27500</v>
      </c>
      <c r="J97" s="35">
        <f>IF(J$95&gt;$F36,$F36-SUM(J$96:J96),J$95-SUM(J$96:J96))</f>
        <v>27500</v>
      </c>
      <c r="K97" s="35">
        <f>IF(K$95&gt;$F36,$F36-SUM(K$96:K96),K$95-SUM(K$96:K96))</f>
        <v>27500</v>
      </c>
      <c r="L97" s="35">
        <f>IF(L$95&gt;$F36,$F36-SUM(L$96:L96),L$95-SUM(L$96:L96))</f>
        <v>27500</v>
      </c>
      <c r="M97" s="35">
        <f>IF(M$95&gt;$F36,$F36-SUM(M$96:M96),M$95-SUM(M$96:M96))</f>
        <v>27500</v>
      </c>
      <c r="N97" s="35">
        <f>IF(N$95&gt;$F36,$F36-SUM(N$96:N96),N$95-SUM(N$96:N96))</f>
        <v>27500</v>
      </c>
      <c r="O97" s="35">
        <f>IF(O$95&gt;$F36,$F36-SUM(O$96:O96),O$95-SUM(O$96:O96))</f>
        <v>27500</v>
      </c>
      <c r="P97" s="35">
        <f>IF(P$95&gt;$F36,$F36-SUM(P$96:P96),P$95-SUM(P$96:P96))</f>
        <v>27500</v>
      </c>
    </row>
    <row r="98" spans="3:16" hidden="1" outlineLevel="1" x14ac:dyDescent="0.4">
      <c r="C98" s="36" t="s">
        <v>39</v>
      </c>
      <c r="D98" s="34" t="s">
        <v>12</v>
      </c>
      <c r="E98" s="35">
        <f>IF(E$95&gt;$F37,$F37-SUM(E$96:E97),E$95-SUM(E$96:E97))</f>
        <v>26262.380000000005</v>
      </c>
      <c r="F98" s="35">
        <f>IF(F$95&gt;$F37,$F37-SUM(F$96:F97),F$95-SUM(F$96:F97))</f>
        <v>28260.559999999998</v>
      </c>
      <c r="G98" s="35">
        <f>IF(G$95&gt;$F37,$F37-SUM(G$96:G97),G$95-SUM(G$96:G97))</f>
        <v>37535.42</v>
      </c>
      <c r="H98" s="35">
        <f>IF(H$95&gt;$F37,$F37-SUM(H$96:H97),H$95-SUM(H$96:H97))</f>
        <v>46848.181212404874</v>
      </c>
      <c r="I98" s="35">
        <f>IF(I$95&gt;$F37,$F37-SUM(I$96:I97),I$95-SUM(I$96:I97))</f>
        <v>55000</v>
      </c>
      <c r="J98" s="35">
        <f>IF(J$95&gt;$F37,$F37-SUM(J$96:J97),J$95-SUM(J$96:J97))</f>
        <v>55000</v>
      </c>
      <c r="K98" s="35">
        <f>IF(K$95&gt;$F37,$F37-SUM(K$96:K97),K$95-SUM(K$96:K97))</f>
        <v>55000</v>
      </c>
      <c r="L98" s="35">
        <f>IF(L$95&gt;$F37,$F37-SUM(L$96:L97),L$95-SUM(L$96:L97))</f>
        <v>55000</v>
      </c>
      <c r="M98" s="35">
        <f>IF(M$95&gt;$F37,$F37-SUM(M$96:M97),M$95-SUM(M$96:M97))</f>
        <v>55000</v>
      </c>
      <c r="N98" s="35">
        <f>IF(N$95&gt;$F37,$F37-SUM(N$96:N97),N$95-SUM(N$96:N97))</f>
        <v>55000</v>
      </c>
      <c r="O98" s="35">
        <f>IF(O$95&gt;$F37,$F37-SUM(O$96:O97),O$95-SUM(O$96:O97))</f>
        <v>55000</v>
      </c>
      <c r="P98" s="35">
        <f>IF(P$95&gt;$F37,$F37-SUM(P$96:P97),P$95-SUM(P$96:P97))</f>
        <v>55000</v>
      </c>
    </row>
    <row r="99" spans="3:16" hidden="1" outlineLevel="1" x14ac:dyDescent="0.4">
      <c r="C99" s="36" t="s">
        <v>39</v>
      </c>
      <c r="D99" s="34" t="s">
        <v>13</v>
      </c>
      <c r="E99" s="35">
        <f>IF(E$95&gt;$F38,$F38-SUM(E$96:E98),E$95-SUM(E$96:E98))</f>
        <v>0</v>
      </c>
      <c r="F99" s="35">
        <f>IF(F$95&gt;$F38,$F38-SUM(F$96:F98),F$95-SUM(F$96:F98))</f>
        <v>0</v>
      </c>
      <c r="G99" s="35">
        <f>IF(G$95&gt;$F38,$F38-SUM(G$96:G98),G$95-SUM(G$96:G98))</f>
        <v>0</v>
      </c>
      <c r="H99" s="35">
        <f>IF(H$95&gt;$F38,$F38-SUM(H$96:H98),H$95-SUM(H$96:H98))</f>
        <v>0</v>
      </c>
      <c r="I99" s="35">
        <f>IF(I$95&gt;$F38,$F38-SUM(I$96:I98),I$95-SUM(I$96:I98))</f>
        <v>858.69260300848691</v>
      </c>
      <c r="J99" s="35">
        <f>IF(J$95&gt;$F38,$F38-SUM(J$96:J98),J$95-SUM(J$96:J98))</f>
        <v>7584.2347858791036</v>
      </c>
      <c r="K99" s="35">
        <f>IF(K$95&gt;$F38,$F38-SUM(K$96:K98),K$95-SUM(K$96:K98))</f>
        <v>15106.976027127268</v>
      </c>
      <c r="L99" s="35">
        <f>IF(L$95&gt;$F38,$F38-SUM(L$96:L98),L$95-SUM(L$96:L98))</f>
        <v>22575.219421317073</v>
      </c>
      <c r="M99" s="35">
        <f>IF(M$95&gt;$F38,$F38-SUM(M$96:M98),M$95-SUM(M$96:M98))</f>
        <v>31310.582260609954</v>
      </c>
      <c r="N99" s="35">
        <f>IF(N$95&gt;$F38,$F38-SUM(N$96:N98),N$95-SUM(N$96:N98))</f>
        <v>38985.011252095894</v>
      </c>
      <c r="O99" s="35">
        <f>IF(O$95&gt;$F38,$F38-SUM(O$96:O98),O$95-SUM(O$96:O98))</f>
        <v>40345.917697786615</v>
      </c>
      <c r="P99" s="35">
        <f>IF(P$95&gt;$F38,$F38-SUM(P$96:P98),P$95-SUM(P$96:P98))</f>
        <v>44350.898130980495</v>
      </c>
    </row>
    <row r="100" spans="3:16" hidden="1" outlineLevel="1" x14ac:dyDescent="0.4">
      <c r="C100" s="36" t="s">
        <v>39</v>
      </c>
      <c r="D100" s="34" t="s">
        <v>14</v>
      </c>
      <c r="E100" s="35">
        <f>IF(E$95&gt;$F39,$F39-SUM(E$96:E99),E$95-SUM(E$96:E99))</f>
        <v>0</v>
      </c>
      <c r="F100" s="35">
        <f>IF(F$95&gt;$F39,$F39-SUM(F$96:F99),F$95-SUM(F$96:F99))</f>
        <v>0</v>
      </c>
      <c r="G100" s="35">
        <f>IF(G$95&gt;$F39,$F39-SUM(G$96:G99),G$95-SUM(G$96:G99))</f>
        <v>0</v>
      </c>
      <c r="H100" s="35">
        <f>IF(H$95&gt;$F39,$F39-SUM(H$96:H99),H$95-SUM(H$96:H99))</f>
        <v>0</v>
      </c>
      <c r="I100" s="35">
        <f>IF(I$95&gt;$F39,$F39-SUM(I$96:I99),I$95-SUM(I$96:I99))</f>
        <v>0</v>
      </c>
      <c r="J100" s="35">
        <f>IF(J$95&gt;$F39,$F39-SUM(J$96:J99),J$95-SUM(J$96:J99))</f>
        <v>0</v>
      </c>
      <c r="K100" s="35">
        <f>IF(K$95&gt;$F39,$F39-SUM(K$96:K99),K$95-SUM(K$96:K99))</f>
        <v>0</v>
      </c>
      <c r="L100" s="35">
        <f>IF(L$95&gt;$F39,$F39-SUM(L$96:L99),L$95-SUM(L$96:L99))</f>
        <v>0</v>
      </c>
      <c r="M100" s="35">
        <f>IF(M$95&gt;$F39,$F39-SUM(M$96:M99),M$95-SUM(M$96:M99))</f>
        <v>0</v>
      </c>
      <c r="N100" s="35">
        <f>IF(N$95&gt;$F39,$F39-SUM(N$96:N99),N$95-SUM(N$96:N99))</f>
        <v>0</v>
      </c>
      <c r="O100" s="35">
        <f>IF(O$95&gt;$F39,$F39-SUM(O$96:O99),O$95-SUM(O$96:O99))</f>
        <v>0</v>
      </c>
      <c r="P100" s="35">
        <f>IF(P$95&gt;$F39,$F39-SUM(P$96:P99),P$95-SUM(P$96:P99))</f>
        <v>0</v>
      </c>
    </row>
    <row r="101" spans="3:16" hidden="1" outlineLevel="1" x14ac:dyDescent="0.4">
      <c r="C101" s="36" t="s">
        <v>39</v>
      </c>
      <c r="D101" s="34" t="s">
        <v>15</v>
      </c>
      <c r="E101" s="35">
        <f>IF(E$95&gt;$F40,$F40-SUM(E$96:E100),E$95-SUM(E$96:E100))</f>
        <v>0</v>
      </c>
      <c r="F101" s="35">
        <f>IF(F$95&gt;$F40,$F40-SUM(F$96:F100),F$95-SUM(F$96:F100))</f>
        <v>0</v>
      </c>
      <c r="G101" s="35">
        <f>IF(G$95&gt;$F40,$F40-SUM(G$96:G100),G$95-SUM(G$96:G100))</f>
        <v>0</v>
      </c>
      <c r="H101" s="35">
        <f>IF(H$95&gt;$F40,$F40-SUM(H$96:H100),H$95-SUM(H$96:H100))</f>
        <v>0</v>
      </c>
      <c r="I101" s="35">
        <f>IF(I$95&gt;$F40,$F40-SUM(I$96:I100),I$95-SUM(I$96:I100))</f>
        <v>0</v>
      </c>
      <c r="J101" s="35">
        <f>IF(J$95&gt;$F40,$F40-SUM(J$96:J100),J$95-SUM(J$96:J100))</f>
        <v>0</v>
      </c>
      <c r="K101" s="35">
        <f>IF(K$95&gt;$F40,$F40-SUM(K$96:K100),K$95-SUM(K$96:K100))</f>
        <v>0</v>
      </c>
      <c r="L101" s="35">
        <f>IF(L$95&gt;$F40,$F40-SUM(L$96:L100),L$95-SUM(L$96:L100))</f>
        <v>0</v>
      </c>
      <c r="M101" s="35">
        <f>IF(M$95&gt;$F40,$F40-SUM(M$96:M100),M$95-SUM(M$96:M100))</f>
        <v>0</v>
      </c>
      <c r="N101" s="35">
        <f>IF(N$95&gt;$F40,$F40-SUM(N$96:N100),N$95-SUM(N$96:N100))</f>
        <v>0</v>
      </c>
      <c r="O101" s="35">
        <f>IF(O$95&gt;$F40,$F40-SUM(O$96:O100),O$95-SUM(O$96:O100))</f>
        <v>0</v>
      </c>
      <c r="P101" s="35">
        <f>IF(P$95&gt;$F40,$F40-SUM(P$96:P100),P$95-SUM(P$96:P100))</f>
        <v>0</v>
      </c>
    </row>
    <row r="102" spans="3:16" x14ac:dyDescent="0.4">
      <c r="C102" s="36" t="s">
        <v>39</v>
      </c>
      <c r="D102" t="s">
        <v>45</v>
      </c>
      <c r="E102" s="4">
        <f>E$14*$H$51</f>
        <v>32617.5</v>
      </c>
      <c r="F102" s="4">
        <f t="shared" ref="F102:P102" si="35">F$14*$H$51</f>
        <v>34295.5</v>
      </c>
      <c r="G102" s="4">
        <f t="shared" si="35"/>
        <v>37517.5</v>
      </c>
      <c r="H102" s="4">
        <f t="shared" si="35"/>
        <v>41479.086204759893</v>
      </c>
      <c r="I102" s="4">
        <f t="shared" si="35"/>
        <v>45527.66098785917</v>
      </c>
      <c r="J102" s="4">
        <f t="shared" si="35"/>
        <v>49013.822777364185</v>
      </c>
      <c r="K102" s="4">
        <f t="shared" si="35"/>
        <v>52470.369254878227</v>
      </c>
      <c r="L102" s="4">
        <f t="shared" si="35"/>
        <v>55915.419145401189</v>
      </c>
      <c r="M102" s="4">
        <f t="shared" si="35"/>
        <v>59681.786542028836</v>
      </c>
      <c r="N102" s="4">
        <f t="shared" si="35"/>
        <v>63326.452387767225</v>
      </c>
      <c r="O102" s="4">
        <f t="shared" si="35"/>
        <v>65349.123727735277</v>
      </c>
      <c r="P102" s="4">
        <f t="shared" si="35"/>
        <v>65912.621676267096</v>
      </c>
    </row>
    <row r="103" spans="3:16" x14ac:dyDescent="0.4">
      <c r="C103" s="36" t="s">
        <v>39</v>
      </c>
      <c r="D103" s="1" t="s">
        <v>41</v>
      </c>
      <c r="E103" s="32">
        <f>E86+E95+E102</f>
        <v>128220.3</v>
      </c>
      <c r="F103" s="32">
        <f t="shared" ref="F103:P103" si="36">F86+F95+F102</f>
        <v>132249.09999999998</v>
      </c>
      <c r="G103" s="32">
        <f t="shared" si="36"/>
        <v>146382.70000000001</v>
      </c>
      <c r="H103" s="32">
        <f t="shared" si="36"/>
        <v>161300.47586641269</v>
      </c>
      <c r="I103" s="32">
        <f t="shared" si="36"/>
        <v>175949.6522855162</v>
      </c>
      <c r="J103" s="32">
        <f t="shared" si="36"/>
        <v>187348.21664310433</v>
      </c>
      <c r="K103" s="32">
        <f t="shared" si="36"/>
        <v>199655.0469338515</v>
      </c>
      <c r="L103" s="32">
        <f t="shared" si="36"/>
        <v>211886.26552342129</v>
      </c>
      <c r="M103" s="32">
        <f t="shared" si="36"/>
        <v>225929.53037804054</v>
      </c>
      <c r="N103" s="32">
        <f t="shared" si="36"/>
        <v>238602.93621376241</v>
      </c>
      <c r="O103" s="32">
        <f t="shared" si="36"/>
        <v>242226.67396042543</v>
      </c>
      <c r="P103" s="32">
        <f t="shared" si="36"/>
        <v>247501.91359506769</v>
      </c>
    </row>
    <row r="105" spans="3:16" x14ac:dyDescent="0.4">
      <c r="D105" s="1" t="s">
        <v>42</v>
      </c>
      <c r="E105" s="3">
        <v>46053</v>
      </c>
      <c r="F105" s="3">
        <f>EOMONTH(E105,1)</f>
        <v>46081</v>
      </c>
      <c r="G105" s="3">
        <f t="shared" ref="G105:P105" si="37">EOMONTH(F105,1)</f>
        <v>46112</v>
      </c>
      <c r="H105" s="3">
        <f t="shared" si="37"/>
        <v>46142</v>
      </c>
      <c r="I105" s="3">
        <f t="shared" si="37"/>
        <v>46173</v>
      </c>
      <c r="J105" s="3">
        <f t="shared" si="37"/>
        <v>46203</v>
      </c>
      <c r="K105" s="3">
        <f t="shared" si="37"/>
        <v>46234</v>
      </c>
      <c r="L105" s="3">
        <f t="shared" si="37"/>
        <v>46265</v>
      </c>
      <c r="M105" s="3">
        <f t="shared" si="37"/>
        <v>46295</v>
      </c>
      <c r="N105" s="3">
        <f t="shared" si="37"/>
        <v>46326</v>
      </c>
      <c r="O105" s="3">
        <f t="shared" si="37"/>
        <v>46356</v>
      </c>
      <c r="P105" s="3">
        <f t="shared" si="37"/>
        <v>46387</v>
      </c>
    </row>
    <row r="106" spans="3:16" x14ac:dyDescent="0.4">
      <c r="D106" t="s">
        <v>49</v>
      </c>
      <c r="E106" s="4">
        <f>SUMPRODUCT(E87:E94,$G$24:$G$31)*1.18*$E$4</f>
        <v>30713.729521199999</v>
      </c>
      <c r="F106" s="4">
        <f t="shared" ref="F106:P106" si="38">SUMPRODUCT(F87:F94,$G$24:$G$31)*1.18*$E$4</f>
        <v>30943.412084399999</v>
      </c>
      <c r="G106" s="4">
        <f t="shared" si="38"/>
        <v>32009.519050800001</v>
      </c>
      <c r="H106" s="4">
        <f t="shared" si="38"/>
        <v>33079.982605502126</v>
      </c>
      <c r="I106" s="4">
        <f t="shared" si="38"/>
        <v>34115.703787746286</v>
      </c>
      <c r="J106" s="4">
        <f t="shared" si="38"/>
        <v>34888.777168258268</v>
      </c>
      <c r="K106" s="4">
        <f t="shared" si="38"/>
        <v>35348.110863973197</v>
      </c>
      <c r="L106" s="4">
        <f t="shared" si="38"/>
        <v>35777.332777259042</v>
      </c>
      <c r="M106" s="4">
        <f t="shared" si="38"/>
        <v>36279.37977187684</v>
      </c>
      <c r="N106" s="4">
        <f t="shared" si="38"/>
        <v>36720.451777867522</v>
      </c>
      <c r="O106" s="4">
        <f t="shared" si="38"/>
        <v>36798.667073967386</v>
      </c>
      <c r="P106" s="4">
        <f t="shared" si="38"/>
        <v>37028.845078817249</v>
      </c>
    </row>
    <row r="107" spans="3:16" x14ac:dyDescent="0.4">
      <c r="D107" t="s">
        <v>50</v>
      </c>
      <c r="E107" s="4">
        <f>SUMPRODUCT(E96:E101,$G$35:$G$40)*1.18*$E$4</f>
        <v>14952.36026736</v>
      </c>
      <c r="F107" s="4">
        <f t="shared" ref="F107:P107" si="39">SUMPRODUCT(F96:F101,$G$35:$G$40)*1.18*$E$4</f>
        <v>15212.667172320002</v>
      </c>
      <c r="G107" s="4">
        <f t="shared" si="39"/>
        <v>16420.921734240001</v>
      </c>
      <c r="H107" s="4">
        <f t="shared" si="39"/>
        <v>17634.113762902409</v>
      </c>
      <c r="I107" s="4">
        <f t="shared" si="39"/>
        <v>18765.98225173695</v>
      </c>
      <c r="J107" s="4">
        <f t="shared" si="39"/>
        <v>19313.575896266277</v>
      </c>
      <c r="K107" s="4">
        <f t="shared" si="39"/>
        <v>19926.0774881287</v>
      </c>
      <c r="L107" s="4">
        <f t="shared" si="39"/>
        <v>20534.141865283636</v>
      </c>
      <c r="M107" s="4">
        <f t="shared" si="39"/>
        <v>21245.37510765886</v>
      </c>
      <c r="N107" s="4">
        <f t="shared" si="39"/>
        <v>21870.227116145652</v>
      </c>
      <c r="O107" s="4">
        <f t="shared" si="39"/>
        <v>21981.03211895379</v>
      </c>
      <c r="P107" s="4">
        <f t="shared" si="39"/>
        <v>22307.11762582443</v>
      </c>
    </row>
    <row r="108" spans="3:16" x14ac:dyDescent="0.4">
      <c r="D108" t="s">
        <v>51</v>
      </c>
      <c r="E108" s="4">
        <f>E102*$G$44*1.18*$E$4</f>
        <v>2190.9664012500002</v>
      </c>
      <c r="F108" s="4">
        <f t="shared" ref="F108:P108" si="40">F102*$G$44*1.18*$E$4</f>
        <v>2303.6801782500002</v>
      </c>
      <c r="G108" s="4">
        <f t="shared" si="40"/>
        <v>2520.1067512500003</v>
      </c>
      <c r="H108" s="4">
        <f t="shared" si="40"/>
        <v>2786.212439003029</v>
      </c>
      <c r="I108" s="4">
        <f t="shared" si="40"/>
        <v>3058.1612800459825</v>
      </c>
      <c r="J108" s="4">
        <f t="shared" si="40"/>
        <v>3292.3319966897184</v>
      </c>
      <c r="K108" s="4">
        <f t="shared" si="40"/>
        <v>3524.5134084040533</v>
      </c>
      <c r="L108" s="4">
        <f t="shared" si="40"/>
        <v>3755.9225771253164</v>
      </c>
      <c r="M108" s="4">
        <f t="shared" si="40"/>
        <v>4008.9151247078898</v>
      </c>
      <c r="N108" s="4">
        <f t="shared" si="40"/>
        <v>4253.7327965649065</v>
      </c>
      <c r="O108" s="4">
        <f t="shared" si="40"/>
        <v>4389.5986644775703</v>
      </c>
      <c r="P108" s="4">
        <f t="shared" si="40"/>
        <v>4427.4496669273758</v>
      </c>
    </row>
    <row r="109" spans="3:16" x14ac:dyDescent="0.4">
      <c r="D109" s="1" t="s">
        <v>52</v>
      </c>
      <c r="E109" s="32">
        <f>E106+E107+E108</f>
        <v>47857.056189809999</v>
      </c>
      <c r="F109" s="32">
        <f t="shared" ref="F109" si="41">F106+F107+F108</f>
        <v>48459.759434969994</v>
      </c>
      <c r="G109" s="32">
        <f t="shared" ref="G109" si="42">G106+G107+G108</f>
        <v>50950.547536290003</v>
      </c>
      <c r="H109" s="32">
        <f t="shared" ref="H109" si="43">H106+H107+H108</f>
        <v>53500.308807407564</v>
      </c>
      <c r="I109" s="32">
        <f t="shared" ref="I109" si="44">I106+I107+I108</f>
        <v>55939.847319529217</v>
      </c>
      <c r="J109" s="32">
        <f t="shared" ref="J109" si="45">J106+J107+J108</f>
        <v>57494.685061214266</v>
      </c>
      <c r="K109" s="32">
        <f t="shared" ref="K109" si="46">K106+K107+K108</f>
        <v>58798.701760505952</v>
      </c>
      <c r="L109" s="32">
        <f t="shared" ref="L109" si="47">L106+L107+L108</f>
        <v>60067.397219667997</v>
      </c>
      <c r="M109" s="32">
        <f t="shared" ref="M109" si="48">M106+M107+M108</f>
        <v>61533.670004243591</v>
      </c>
      <c r="N109" s="32">
        <f t="shared" ref="N109" si="49">N106+N107+N108</f>
        <v>62844.411690578083</v>
      </c>
      <c r="O109" s="32">
        <f t="shared" ref="O109" si="50">O106+O107+O108</f>
        <v>63169.297857398749</v>
      </c>
      <c r="P109" s="32">
        <f t="shared" ref="P109" si="51">P106+P107+P108</f>
        <v>63763.412371569051</v>
      </c>
    </row>
    <row r="110" spans="3:16" x14ac:dyDescent="0.4">
      <c r="D110" s="41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</row>
    <row r="111" spans="3:16" x14ac:dyDescent="0.4">
      <c r="D111" s="31" t="s">
        <v>27</v>
      </c>
    </row>
    <row r="113" spans="3:16" x14ac:dyDescent="0.4">
      <c r="D113" s="1" t="s">
        <v>42</v>
      </c>
      <c r="E113" s="3">
        <v>46053</v>
      </c>
      <c r="F113" s="3">
        <f>EOMONTH(E113,1)</f>
        <v>46081</v>
      </c>
      <c r="G113" s="3">
        <f t="shared" ref="G113:P113" si="52">EOMONTH(F113,1)</f>
        <v>46112</v>
      </c>
      <c r="H113" s="3">
        <f t="shared" si="52"/>
        <v>46142</v>
      </c>
      <c r="I113" s="3">
        <f t="shared" si="52"/>
        <v>46173</v>
      </c>
      <c r="J113" s="3">
        <f t="shared" si="52"/>
        <v>46203</v>
      </c>
      <c r="K113" s="3">
        <f t="shared" si="52"/>
        <v>46234</v>
      </c>
      <c r="L113" s="3">
        <f t="shared" si="52"/>
        <v>46265</v>
      </c>
      <c r="M113" s="3">
        <f t="shared" si="52"/>
        <v>46295</v>
      </c>
      <c r="N113" s="3">
        <f t="shared" si="52"/>
        <v>46326</v>
      </c>
      <c r="O113" s="3">
        <f t="shared" si="52"/>
        <v>46356</v>
      </c>
      <c r="P113" s="3">
        <f t="shared" si="52"/>
        <v>46387</v>
      </c>
    </row>
    <row r="114" spans="3:16" collapsed="1" x14ac:dyDescent="0.4">
      <c r="C114" s="36" t="s">
        <v>40</v>
      </c>
      <c r="D114" t="s">
        <v>43</v>
      </c>
      <c r="E114" s="4">
        <f>E$12*VLOOKUP($C114,$C$50:$E$53,3,FALSE)*VLOOKUP($C114,$C$50:$G$53,4,FALSE)</f>
        <v>0</v>
      </c>
      <c r="F114" s="4">
        <f t="shared" ref="F114:P114" si="53">F$12*VLOOKUP($C114,$C$50:$E$53,3,FALSE)*VLOOKUP($C114,$C$50:$G$53,4,FALSE)</f>
        <v>0</v>
      </c>
      <c r="G114" s="4">
        <f t="shared" si="53"/>
        <v>0</v>
      </c>
      <c r="H114" s="4">
        <f t="shared" si="53"/>
        <v>0</v>
      </c>
      <c r="I114" s="4">
        <f t="shared" si="53"/>
        <v>0</v>
      </c>
      <c r="J114" s="4">
        <f t="shared" si="53"/>
        <v>0</v>
      </c>
      <c r="K114" s="4">
        <f t="shared" si="53"/>
        <v>0</v>
      </c>
      <c r="L114" s="4">
        <f t="shared" si="53"/>
        <v>0</v>
      </c>
      <c r="M114" s="4">
        <f t="shared" si="53"/>
        <v>0</v>
      </c>
      <c r="N114" s="4">
        <f t="shared" si="53"/>
        <v>0</v>
      </c>
      <c r="O114" s="4">
        <f t="shared" si="53"/>
        <v>0</v>
      </c>
      <c r="P114" s="4">
        <f t="shared" si="53"/>
        <v>0</v>
      </c>
    </row>
    <row r="115" spans="3:16" hidden="1" outlineLevel="1" x14ac:dyDescent="0.4">
      <c r="C115" s="36" t="s">
        <v>40</v>
      </c>
      <c r="D115" s="34" t="s">
        <v>10</v>
      </c>
      <c r="E115" s="35">
        <f t="shared" ref="E115:P115" si="54">IF(E$114&gt;$F24,$F24,0)</f>
        <v>0</v>
      </c>
      <c r="F115" s="35">
        <f t="shared" si="54"/>
        <v>0</v>
      </c>
      <c r="G115" s="35">
        <f t="shared" si="54"/>
        <v>0</v>
      </c>
      <c r="H115" s="35">
        <f t="shared" si="54"/>
        <v>0</v>
      </c>
      <c r="I115" s="35">
        <f t="shared" si="54"/>
        <v>0</v>
      </c>
      <c r="J115" s="35">
        <f t="shared" si="54"/>
        <v>0</v>
      </c>
      <c r="K115" s="35">
        <f t="shared" si="54"/>
        <v>0</v>
      </c>
      <c r="L115" s="35">
        <f t="shared" si="54"/>
        <v>0</v>
      </c>
      <c r="M115" s="35">
        <f t="shared" si="54"/>
        <v>0</v>
      </c>
      <c r="N115" s="35">
        <f t="shared" si="54"/>
        <v>0</v>
      </c>
      <c r="O115" s="35">
        <f t="shared" si="54"/>
        <v>0</v>
      </c>
      <c r="P115" s="35">
        <f t="shared" si="54"/>
        <v>0</v>
      </c>
    </row>
    <row r="116" spans="3:16" hidden="1" outlineLevel="1" x14ac:dyDescent="0.4">
      <c r="C116" s="36" t="s">
        <v>40</v>
      </c>
      <c r="D116" s="34" t="s">
        <v>11</v>
      </c>
      <c r="E116" s="35">
        <f>IF(E$114&gt;$F25,$F25-SUM(E$115:E115),E$114-SUM(E$115:E115))</f>
        <v>0</v>
      </c>
      <c r="F116" s="35">
        <f>IF(F$114&gt;$F25,$F25-SUM(F$115:F115),F$114-SUM(F$115:F115))</f>
        <v>0</v>
      </c>
      <c r="G116" s="35">
        <f>IF(G$114&gt;$F25,$F25-SUM(G$115:G115),G$114-SUM(G$115:G115))</f>
        <v>0</v>
      </c>
      <c r="H116" s="35">
        <f>IF(H$114&gt;$F25,$F25-SUM(H$115:H115),H$114-SUM(H$115:H115))</f>
        <v>0</v>
      </c>
      <c r="I116" s="35">
        <f>IF(I$114&gt;$F25,$F25-SUM(I$115:I115),I$114-SUM(I$115:I115))</f>
        <v>0</v>
      </c>
      <c r="J116" s="35">
        <f>IF(J$114&gt;$F25,$F25-SUM(J$115:J115),J$114-SUM(J$115:J115))</f>
        <v>0</v>
      </c>
      <c r="K116" s="35">
        <f>IF(K$114&gt;$F25,$F25-SUM(K$115:K115),K$114-SUM(K$115:K115))</f>
        <v>0</v>
      </c>
      <c r="L116" s="35">
        <f>IF(L$114&gt;$F25,$F25-SUM(L$115:L115),L$114-SUM(L$115:L115))</f>
        <v>0</v>
      </c>
      <c r="M116" s="35">
        <f>IF(M$114&gt;$F25,$F25-SUM(M$115:M115),M$114-SUM(M$115:M115))</f>
        <v>0</v>
      </c>
      <c r="N116" s="35">
        <f>IF(N$114&gt;$F25,$F25-SUM(N$115:N115),N$114-SUM(N$115:N115))</f>
        <v>0</v>
      </c>
      <c r="O116" s="35">
        <f>IF(O$114&gt;$F25,$F25-SUM(O$115:O115),O$114-SUM(O$115:O115))</f>
        <v>0</v>
      </c>
      <c r="P116" s="35">
        <f>IF(P$114&gt;$F25,$F25-SUM(P$115:P115),P$114-SUM(P$115:P115))</f>
        <v>0</v>
      </c>
    </row>
    <row r="117" spans="3:16" hidden="1" outlineLevel="1" x14ac:dyDescent="0.4">
      <c r="C117" s="36" t="s">
        <v>40</v>
      </c>
      <c r="D117" s="34" t="s">
        <v>12</v>
      </c>
      <c r="E117" s="35">
        <f>IF(E$114&gt;$F26,$F26-SUM(E$115:E116),E$114-SUM(E$115:E116))</f>
        <v>0</v>
      </c>
      <c r="F117" s="35">
        <f>IF(F$114&gt;$F26,$F26-SUM(F$115:F116),F$114-SUM(F$115:F116))</f>
        <v>0</v>
      </c>
      <c r="G117" s="35">
        <f>IF(G$114&gt;$F26,$F26-SUM(G$115:G116),G$114-SUM(G$115:G116))</f>
        <v>0</v>
      </c>
      <c r="H117" s="35">
        <f>IF(H$114&gt;$F26,$F26-SUM(H$115:H116),H$114-SUM(H$115:H116))</f>
        <v>0</v>
      </c>
      <c r="I117" s="35">
        <f>IF(I$114&gt;$F26,$F26-SUM(I$115:I116),I$114-SUM(I$115:I116))</f>
        <v>0</v>
      </c>
      <c r="J117" s="35">
        <f>IF(J$114&gt;$F26,$F26-SUM(J$115:J116),J$114-SUM(J$115:J116))</f>
        <v>0</v>
      </c>
      <c r="K117" s="35">
        <f>IF(K$114&gt;$F26,$F26-SUM(K$115:K116),K$114-SUM(K$115:K116))</f>
        <v>0</v>
      </c>
      <c r="L117" s="35">
        <f>IF(L$114&gt;$F26,$F26-SUM(L$115:L116),L$114-SUM(L$115:L116))</f>
        <v>0</v>
      </c>
      <c r="M117" s="35">
        <f>IF(M$114&gt;$F26,$F26-SUM(M$115:M116),M$114-SUM(M$115:M116))</f>
        <v>0</v>
      </c>
      <c r="N117" s="35">
        <f>IF(N$114&gt;$F26,$F26-SUM(N$115:N116),N$114-SUM(N$115:N116))</f>
        <v>0</v>
      </c>
      <c r="O117" s="35">
        <f>IF(O$114&gt;$F26,$F26-SUM(O$115:O116),O$114-SUM(O$115:O116))</f>
        <v>0</v>
      </c>
      <c r="P117" s="35">
        <f>IF(P$114&gt;$F26,$F26-SUM(P$115:P116),P$114-SUM(P$115:P116))</f>
        <v>0</v>
      </c>
    </row>
    <row r="118" spans="3:16" hidden="1" outlineLevel="1" x14ac:dyDescent="0.4">
      <c r="C118" s="36" t="s">
        <v>40</v>
      </c>
      <c r="D118" s="34" t="s">
        <v>13</v>
      </c>
      <c r="E118" s="35">
        <f>IF(E$114&gt;$F27,$F27-SUM(E$115:E117),E$114-SUM(E$115:E117))</f>
        <v>0</v>
      </c>
      <c r="F118" s="35">
        <f>IF(F$114&gt;$F27,$F27-SUM(F$115:F117),F$114-SUM(F$115:F117))</f>
        <v>0</v>
      </c>
      <c r="G118" s="35">
        <f>IF(G$114&gt;$F27,$F27-SUM(G$115:G117),G$114-SUM(G$115:G117))</f>
        <v>0</v>
      </c>
      <c r="H118" s="35">
        <f>IF(H$114&gt;$F27,$F27-SUM(H$115:H117),H$114-SUM(H$115:H117))</f>
        <v>0</v>
      </c>
      <c r="I118" s="35">
        <f>IF(I$114&gt;$F27,$F27-SUM(I$115:I117),I$114-SUM(I$115:I117))</f>
        <v>0</v>
      </c>
      <c r="J118" s="35">
        <f>IF(J$114&gt;$F27,$F27-SUM(J$115:J117),J$114-SUM(J$115:J117))</f>
        <v>0</v>
      </c>
      <c r="K118" s="35">
        <f>IF(K$114&gt;$F27,$F27-SUM(K$115:K117),K$114-SUM(K$115:K117))</f>
        <v>0</v>
      </c>
      <c r="L118" s="35">
        <f>IF(L$114&gt;$F27,$F27-SUM(L$115:L117),L$114-SUM(L$115:L117))</f>
        <v>0</v>
      </c>
      <c r="M118" s="35">
        <f>IF(M$114&gt;$F27,$F27-SUM(M$115:M117),M$114-SUM(M$115:M117))</f>
        <v>0</v>
      </c>
      <c r="N118" s="35">
        <f>IF(N$114&gt;$F27,$F27-SUM(N$115:N117),N$114-SUM(N$115:N117))</f>
        <v>0</v>
      </c>
      <c r="O118" s="35">
        <f>IF(O$114&gt;$F27,$F27-SUM(O$115:O117),O$114-SUM(O$115:O117))</f>
        <v>0</v>
      </c>
      <c r="P118" s="35">
        <f>IF(P$114&gt;$F27,$F27-SUM(P$115:P117),P$114-SUM(P$115:P117))</f>
        <v>0</v>
      </c>
    </row>
    <row r="119" spans="3:16" hidden="1" outlineLevel="1" x14ac:dyDescent="0.4">
      <c r="C119" s="36" t="s">
        <v>40</v>
      </c>
      <c r="D119" s="34" t="s">
        <v>14</v>
      </c>
      <c r="E119" s="35">
        <f>IF(E$114&gt;$F28,$F28-SUM(E$115:E118),E$114-SUM(E$115:E118))</f>
        <v>0</v>
      </c>
      <c r="F119" s="35">
        <f>IF(F$114&gt;$F28,$F28-SUM(F$115:F118),F$114-SUM(F$115:F118))</f>
        <v>0</v>
      </c>
      <c r="G119" s="35">
        <f>IF(G$114&gt;$F28,$F28-SUM(G$115:G118),G$114-SUM(G$115:G118))</f>
        <v>0</v>
      </c>
      <c r="H119" s="35">
        <f>IF(H$114&gt;$F28,$F28-SUM(H$115:H118),H$114-SUM(H$115:H118))</f>
        <v>0</v>
      </c>
      <c r="I119" s="35">
        <f>IF(I$114&gt;$F28,$F28-SUM(I$115:I118),I$114-SUM(I$115:I118))</f>
        <v>0</v>
      </c>
      <c r="J119" s="35">
        <f>IF(J$114&gt;$F28,$F28-SUM(J$115:J118),J$114-SUM(J$115:J118))</f>
        <v>0</v>
      </c>
      <c r="K119" s="35">
        <f>IF(K$114&gt;$F28,$F28-SUM(K$115:K118),K$114-SUM(K$115:K118))</f>
        <v>0</v>
      </c>
      <c r="L119" s="35">
        <f>IF(L$114&gt;$F28,$F28-SUM(L$115:L118),L$114-SUM(L$115:L118))</f>
        <v>0</v>
      </c>
      <c r="M119" s="35">
        <f>IF(M$114&gt;$F28,$F28-SUM(M$115:M118),M$114-SUM(M$115:M118))</f>
        <v>0</v>
      </c>
      <c r="N119" s="35">
        <f>IF(N$114&gt;$F28,$F28-SUM(N$115:N118),N$114-SUM(N$115:N118))</f>
        <v>0</v>
      </c>
      <c r="O119" s="35">
        <f>IF(O$114&gt;$F28,$F28-SUM(O$115:O118),O$114-SUM(O$115:O118))</f>
        <v>0</v>
      </c>
      <c r="P119" s="35">
        <f>IF(P$114&gt;$F28,$F28-SUM(P$115:P118),P$114-SUM(P$115:P118))</f>
        <v>0</v>
      </c>
    </row>
    <row r="120" spans="3:16" hidden="1" outlineLevel="1" x14ac:dyDescent="0.4">
      <c r="C120" s="36" t="s">
        <v>40</v>
      </c>
      <c r="D120" s="34" t="s">
        <v>15</v>
      </c>
      <c r="E120" s="35">
        <f>IF(E$114&gt;$F29,$F29-SUM(E$115:E119),E$114-SUM(E$115:E119))</f>
        <v>0</v>
      </c>
      <c r="F120" s="35">
        <f>IF(F$114&gt;$F29,$F29-SUM(F$115:F119),F$114-SUM(F$115:F119))</f>
        <v>0</v>
      </c>
      <c r="G120" s="35">
        <f>IF(G$114&gt;$F29,$F29-SUM(G$115:G119),G$114-SUM(G$115:G119))</f>
        <v>0</v>
      </c>
      <c r="H120" s="35">
        <f>IF(H$114&gt;$F29,$F29-SUM(H$115:H119),H$114-SUM(H$115:H119))</f>
        <v>0</v>
      </c>
      <c r="I120" s="35">
        <f>IF(I$114&gt;$F29,$F29-SUM(I$115:I119),I$114-SUM(I$115:I119))</f>
        <v>0</v>
      </c>
      <c r="J120" s="35">
        <f>IF(J$114&gt;$F29,$F29-SUM(J$115:J119),J$114-SUM(J$115:J119))</f>
        <v>0</v>
      </c>
      <c r="K120" s="35">
        <f>IF(K$114&gt;$F29,$F29-SUM(K$115:K119),K$114-SUM(K$115:K119))</f>
        <v>0</v>
      </c>
      <c r="L120" s="35">
        <f>IF(L$114&gt;$F29,$F29-SUM(L$115:L119),L$114-SUM(L$115:L119))</f>
        <v>0</v>
      </c>
      <c r="M120" s="35">
        <f>IF(M$114&gt;$F29,$F29-SUM(M$115:M119),M$114-SUM(M$115:M119))</f>
        <v>0</v>
      </c>
      <c r="N120" s="35">
        <f>IF(N$114&gt;$F29,$F29-SUM(N$115:N119),N$114-SUM(N$115:N119))</f>
        <v>0</v>
      </c>
      <c r="O120" s="35">
        <f>IF(O$114&gt;$F29,$F29-SUM(O$115:O119),O$114-SUM(O$115:O119))</f>
        <v>0</v>
      </c>
      <c r="P120" s="35">
        <f>IF(P$114&gt;$F29,$F29-SUM(P$115:P119),P$114-SUM(P$115:P119))</f>
        <v>0</v>
      </c>
    </row>
    <row r="121" spans="3:16" hidden="1" outlineLevel="1" x14ac:dyDescent="0.4">
      <c r="C121" s="36" t="s">
        <v>40</v>
      </c>
      <c r="D121" s="34" t="s">
        <v>16</v>
      </c>
      <c r="E121" s="35">
        <f>IF(E$114&gt;$F30,$F30-SUM(E$115:E120),E$114-SUM(E$115:E120))</f>
        <v>0</v>
      </c>
      <c r="F121" s="35">
        <f>IF(F$114&gt;$F30,$F30-SUM(F$115:F120),F$114-SUM(F$115:F120))</f>
        <v>0</v>
      </c>
      <c r="G121" s="35">
        <f>IF(G$114&gt;$F30,$F30-SUM(G$115:G120),G$114-SUM(G$115:G120))</f>
        <v>0</v>
      </c>
      <c r="H121" s="35">
        <f>IF(H$114&gt;$F30,$F30-SUM(H$115:H120),H$114-SUM(H$115:H120))</f>
        <v>0</v>
      </c>
      <c r="I121" s="35">
        <f>IF(I$114&gt;$F30,$F30-SUM(I$115:I120),I$114-SUM(I$115:I120))</f>
        <v>0</v>
      </c>
      <c r="J121" s="35">
        <f>IF(J$114&gt;$F30,$F30-SUM(J$115:J120),J$114-SUM(J$115:J120))</f>
        <v>0</v>
      </c>
      <c r="K121" s="35">
        <f>IF(K$114&gt;$F30,$F30-SUM(K$115:K120),K$114-SUM(K$115:K120))</f>
        <v>0</v>
      </c>
      <c r="L121" s="35">
        <f>IF(L$114&gt;$F30,$F30-SUM(L$115:L120),L$114-SUM(L$115:L120))</f>
        <v>0</v>
      </c>
      <c r="M121" s="35">
        <f>IF(M$114&gt;$F30,$F30-SUM(M$115:M120),M$114-SUM(M$115:M120))</f>
        <v>0</v>
      </c>
      <c r="N121" s="35">
        <f>IF(N$114&gt;$F30,$F30-SUM(N$115:N120),N$114-SUM(N$115:N120))</f>
        <v>0</v>
      </c>
      <c r="O121" s="35">
        <f>IF(O$114&gt;$F30,$F30-SUM(O$115:O120),O$114-SUM(O$115:O120))</f>
        <v>0</v>
      </c>
      <c r="P121" s="35">
        <f>IF(P$114&gt;$F30,$F30-SUM(P$115:P120),P$114-SUM(P$115:P120))</f>
        <v>0</v>
      </c>
    </row>
    <row r="122" spans="3:16" hidden="1" outlineLevel="1" x14ac:dyDescent="0.4">
      <c r="C122" s="36" t="s">
        <v>40</v>
      </c>
      <c r="D122" s="34" t="s">
        <v>17</v>
      </c>
      <c r="E122" s="35">
        <f>IF(E$114&gt;$F31,$F31-SUM(E$115:E121),E$114-SUM(E$115:E121))</f>
        <v>0</v>
      </c>
      <c r="F122" s="35">
        <f>IF(F$114&gt;$F31,$F31-SUM(F$115:F121),F$114-SUM(F$115:F121))</f>
        <v>0</v>
      </c>
      <c r="G122" s="35">
        <f>IF(G$114&gt;$F31,$F31-SUM(G$115:G121),G$114-SUM(G$115:G121))</f>
        <v>0</v>
      </c>
      <c r="H122" s="35">
        <f>IF(H$114&gt;$F31,$F31-SUM(H$115:H121),H$114-SUM(H$115:H121))</f>
        <v>0</v>
      </c>
      <c r="I122" s="35">
        <f>IF(I$114&gt;$F31,$F31-SUM(I$115:I121),I$114-SUM(I$115:I121))</f>
        <v>0</v>
      </c>
      <c r="J122" s="35">
        <f>IF(J$114&gt;$F31,$F31-SUM(J$115:J121),J$114-SUM(J$115:J121))</f>
        <v>0</v>
      </c>
      <c r="K122" s="35">
        <f>IF(K$114&gt;$F31,$F31-SUM(K$115:K121),K$114-SUM(K$115:K121))</f>
        <v>0</v>
      </c>
      <c r="L122" s="35">
        <f>IF(L$114&gt;$F31,$F31-SUM(L$115:L121),L$114-SUM(L$115:L121))</f>
        <v>0</v>
      </c>
      <c r="M122" s="35">
        <f>IF(M$114&gt;$F31,$F31-SUM(M$115:M121),M$114-SUM(M$115:M121))</f>
        <v>0</v>
      </c>
      <c r="N122" s="35">
        <f>IF(N$114&gt;$F31,$F31-SUM(N$115:N121),N$114-SUM(N$115:N121))</f>
        <v>0</v>
      </c>
      <c r="O122" s="35">
        <f>IF(O$114&gt;$F31,$F31-SUM(O$115:O121),O$114-SUM(O$115:O121))</f>
        <v>0</v>
      </c>
      <c r="P122" s="35">
        <f>IF(P$114&gt;$F31,$F31-SUM(P$115:P121),P$114-SUM(P$115:P121))</f>
        <v>0</v>
      </c>
    </row>
    <row r="123" spans="3:16" collapsed="1" x14ac:dyDescent="0.4">
      <c r="C123" s="36" t="s">
        <v>40</v>
      </c>
      <c r="D123" t="s">
        <v>44</v>
      </c>
      <c r="E123" s="4">
        <f>E$12*VLOOKUP($C123,$C$50:$E$53,3,FALSE)*VLOOKUP($C123,$C$50:$G$53,5,FALSE)</f>
        <v>95602.8</v>
      </c>
      <c r="F123" s="4">
        <f t="shared" ref="F123:P123" si="55">F$12*VLOOKUP($C123,$C$50:$E$53,3,FALSE)*VLOOKUP($C123,$C$50:$G$53,5,FALSE)</f>
        <v>97953.599999999991</v>
      </c>
      <c r="G123" s="4">
        <f t="shared" si="55"/>
        <v>108865.2</v>
      </c>
      <c r="H123" s="4">
        <f t="shared" si="55"/>
        <v>119821.38966165279</v>
      </c>
      <c r="I123" s="4">
        <f t="shared" si="55"/>
        <v>130421.99129765705</v>
      </c>
      <c r="J123" s="4">
        <f t="shared" si="55"/>
        <v>138334.39386574013</v>
      </c>
      <c r="K123" s="4">
        <f t="shared" si="55"/>
        <v>147184.67767897327</v>
      </c>
      <c r="L123" s="4">
        <f t="shared" si="55"/>
        <v>155970.8463780201</v>
      </c>
      <c r="M123" s="4">
        <f t="shared" si="55"/>
        <v>166247.74383601171</v>
      </c>
      <c r="N123" s="4">
        <f t="shared" si="55"/>
        <v>175276.48382599518</v>
      </c>
      <c r="O123" s="4">
        <f t="shared" si="55"/>
        <v>176877.55023269015</v>
      </c>
      <c r="P123" s="4">
        <f t="shared" si="55"/>
        <v>181589.29191880059</v>
      </c>
    </row>
    <row r="124" spans="3:16" hidden="1" outlineLevel="1" x14ac:dyDescent="0.4">
      <c r="C124" s="36" t="s">
        <v>40</v>
      </c>
      <c r="D124" s="34" t="s">
        <v>10</v>
      </c>
      <c r="E124" s="35">
        <f t="shared" ref="E124:P124" si="56">IF(E$123&gt;$F35,$F35,0)</f>
        <v>27500</v>
      </c>
      <c r="F124" s="35">
        <f t="shared" si="56"/>
        <v>27500</v>
      </c>
      <c r="G124" s="35">
        <f t="shared" si="56"/>
        <v>27500</v>
      </c>
      <c r="H124" s="35">
        <f t="shared" si="56"/>
        <v>27500</v>
      </c>
      <c r="I124" s="35">
        <f t="shared" si="56"/>
        <v>27500</v>
      </c>
      <c r="J124" s="35">
        <f t="shared" si="56"/>
        <v>27500</v>
      </c>
      <c r="K124" s="35">
        <f t="shared" si="56"/>
        <v>27500</v>
      </c>
      <c r="L124" s="35">
        <f t="shared" si="56"/>
        <v>27500</v>
      </c>
      <c r="M124" s="35">
        <f t="shared" si="56"/>
        <v>27500</v>
      </c>
      <c r="N124" s="35">
        <f t="shared" si="56"/>
        <v>27500</v>
      </c>
      <c r="O124" s="35">
        <f t="shared" si="56"/>
        <v>27500</v>
      </c>
      <c r="P124" s="35">
        <f t="shared" si="56"/>
        <v>27500</v>
      </c>
    </row>
    <row r="125" spans="3:16" hidden="1" outlineLevel="1" x14ac:dyDescent="0.4">
      <c r="C125" s="36" t="s">
        <v>40</v>
      </c>
      <c r="D125" s="34" t="s">
        <v>11</v>
      </c>
      <c r="E125" s="35">
        <f>IF(E$123&gt;$F36,$F36-SUM(E$124:E124),E$123-SUM(E$124:E124))</f>
        <v>27500</v>
      </c>
      <c r="F125" s="35">
        <f>IF(F$123&gt;$F36,$F36-SUM(F$124:F124),F$123-SUM(F$124:F124))</f>
        <v>27500</v>
      </c>
      <c r="G125" s="35">
        <f>IF(G$123&gt;$F36,$F36-SUM(G$124:G124),G$123-SUM(G$124:G124))</f>
        <v>27500</v>
      </c>
      <c r="H125" s="35">
        <f>IF(H$123&gt;$F36,$F36-SUM(H$124:H124),H$123-SUM(H$124:H124))</f>
        <v>27500</v>
      </c>
      <c r="I125" s="35">
        <f>IF(I$123&gt;$F36,$F36-SUM(I$124:I124),I$123-SUM(I$124:I124))</f>
        <v>27500</v>
      </c>
      <c r="J125" s="35">
        <f>IF(J$123&gt;$F36,$F36-SUM(J$124:J124),J$123-SUM(J$124:J124))</f>
        <v>27500</v>
      </c>
      <c r="K125" s="35">
        <f>IF(K$123&gt;$F36,$F36-SUM(K$124:K124),K$123-SUM(K$124:K124))</f>
        <v>27500</v>
      </c>
      <c r="L125" s="35">
        <f>IF(L$123&gt;$F36,$F36-SUM(L$124:L124),L$123-SUM(L$124:L124))</f>
        <v>27500</v>
      </c>
      <c r="M125" s="35">
        <f>IF(M$123&gt;$F36,$F36-SUM(M$124:M124),M$123-SUM(M$124:M124))</f>
        <v>27500</v>
      </c>
      <c r="N125" s="35">
        <f>IF(N$123&gt;$F36,$F36-SUM(N$124:N124),N$123-SUM(N$124:N124))</f>
        <v>27500</v>
      </c>
      <c r="O125" s="35">
        <f>IF(O$123&gt;$F36,$F36-SUM(O$124:O124),O$123-SUM(O$124:O124))</f>
        <v>27500</v>
      </c>
      <c r="P125" s="35">
        <f>IF(P$123&gt;$F36,$F36-SUM(P$124:P124),P$123-SUM(P$124:P124))</f>
        <v>27500</v>
      </c>
    </row>
    <row r="126" spans="3:16" hidden="1" outlineLevel="1" x14ac:dyDescent="0.4">
      <c r="C126" s="36" t="s">
        <v>40</v>
      </c>
      <c r="D126" s="34" t="s">
        <v>12</v>
      </c>
      <c r="E126" s="35">
        <f>IF(E$123&gt;$F37,$F37-SUM(E$124:E125),E$123-SUM(E$124:E125))</f>
        <v>40602.800000000003</v>
      </c>
      <c r="F126" s="35">
        <f>IF(F$123&gt;$F37,$F37-SUM(F$124:F125),F$123-SUM(F$124:F125))</f>
        <v>42953.599999999991</v>
      </c>
      <c r="G126" s="35">
        <f>IF(G$123&gt;$F37,$F37-SUM(G$124:G125),G$123-SUM(G$124:G125))</f>
        <v>53865.2</v>
      </c>
      <c r="H126" s="35">
        <f>IF(H$123&gt;$F37,$F37-SUM(H$124:H125),H$123-SUM(H$124:H125))</f>
        <v>55000</v>
      </c>
      <c r="I126" s="35">
        <f>IF(I$123&gt;$F37,$F37-SUM(I$124:I125),I$123-SUM(I$124:I125))</f>
        <v>55000</v>
      </c>
      <c r="J126" s="35">
        <f>IF(J$123&gt;$F37,$F37-SUM(J$124:J125),J$123-SUM(J$124:J125))</f>
        <v>55000</v>
      </c>
      <c r="K126" s="35">
        <f>IF(K$123&gt;$F37,$F37-SUM(K$124:K125),K$123-SUM(K$124:K125))</f>
        <v>55000</v>
      </c>
      <c r="L126" s="35">
        <f>IF(L$123&gt;$F37,$F37-SUM(L$124:L125),L$123-SUM(L$124:L125))</f>
        <v>55000</v>
      </c>
      <c r="M126" s="35">
        <f>IF(M$123&gt;$F37,$F37-SUM(M$124:M125),M$123-SUM(M$124:M125))</f>
        <v>55000</v>
      </c>
      <c r="N126" s="35">
        <f>IF(N$123&gt;$F37,$F37-SUM(N$124:N125),N$123-SUM(N$124:N125))</f>
        <v>55000</v>
      </c>
      <c r="O126" s="35">
        <f>IF(O$123&gt;$F37,$F37-SUM(O$124:O125),O$123-SUM(O$124:O125))</f>
        <v>55000</v>
      </c>
      <c r="P126" s="35">
        <f>IF(P$123&gt;$F37,$F37-SUM(P$124:P125),P$123-SUM(P$124:P125))</f>
        <v>55000</v>
      </c>
    </row>
    <row r="127" spans="3:16" hidden="1" outlineLevel="1" x14ac:dyDescent="0.4">
      <c r="C127" s="36" t="s">
        <v>40</v>
      </c>
      <c r="D127" s="34" t="s">
        <v>13</v>
      </c>
      <c r="E127" s="35">
        <f>IF(E$123&gt;$F38,$F38-SUM(E$124:E126),E$123-SUM(E$124:E126))</f>
        <v>0</v>
      </c>
      <c r="F127" s="35">
        <f>IF(F$123&gt;$F38,$F38-SUM(F$124:F126),F$123-SUM(F$124:F126))</f>
        <v>0</v>
      </c>
      <c r="G127" s="35">
        <f>IF(G$123&gt;$F38,$F38-SUM(G$124:G126),G$123-SUM(G$124:G126))</f>
        <v>0</v>
      </c>
      <c r="H127" s="35">
        <f>IF(H$123&gt;$F38,$F38-SUM(H$124:H126),H$123-SUM(H$124:H126))</f>
        <v>9821.3896616527927</v>
      </c>
      <c r="I127" s="35">
        <f>IF(I$123&gt;$F38,$F38-SUM(I$124:I126),I$123-SUM(I$124:I126))</f>
        <v>20421.991297657049</v>
      </c>
      <c r="J127" s="35">
        <f>IF(J$123&gt;$F38,$F38-SUM(J$124:J126),J$123-SUM(J$124:J126))</f>
        <v>28334.39386574013</v>
      </c>
      <c r="K127" s="35">
        <f>IF(K$123&gt;$F38,$F38-SUM(K$124:K126),K$123-SUM(K$124:K126))</f>
        <v>37184.677678973268</v>
      </c>
      <c r="L127" s="35">
        <f>IF(L$123&gt;$F38,$F38-SUM(L$124:L126),L$123-SUM(L$124:L126))</f>
        <v>45970.846378020098</v>
      </c>
      <c r="M127" s="35">
        <f>IF(M$123&gt;$F38,$F38-SUM(M$124:M126),M$123-SUM(M$124:M126))</f>
        <v>56247.743836011708</v>
      </c>
      <c r="N127" s="35">
        <f>IF(N$123&gt;$F38,$F38-SUM(N$124:N126),N$123-SUM(N$124:N126))</f>
        <v>65276.483825995179</v>
      </c>
      <c r="O127" s="35">
        <f>IF(O$123&gt;$F38,$F38-SUM(O$124:O126),O$123-SUM(O$124:O126))</f>
        <v>66877.550232690148</v>
      </c>
      <c r="P127" s="35">
        <f>IF(P$123&gt;$F38,$F38-SUM(P$124:P126),P$123-SUM(P$124:P126))</f>
        <v>71589.291918800591</v>
      </c>
    </row>
    <row r="128" spans="3:16" hidden="1" outlineLevel="1" x14ac:dyDescent="0.4">
      <c r="C128" s="36" t="s">
        <v>40</v>
      </c>
      <c r="D128" s="34" t="s">
        <v>14</v>
      </c>
      <c r="E128" s="35">
        <f>IF(E$123&gt;$F39,$F39-SUM(E$124:E127),E$123-SUM(E$124:E127))</f>
        <v>0</v>
      </c>
      <c r="F128" s="35">
        <f>IF(F$123&gt;$F39,$F39-SUM(F$124:F127),F$123-SUM(F$124:F127))</f>
        <v>0</v>
      </c>
      <c r="G128" s="35">
        <f>IF(G$123&gt;$F39,$F39-SUM(G$124:G127),G$123-SUM(G$124:G127))</f>
        <v>0</v>
      </c>
      <c r="H128" s="35">
        <f>IF(H$123&gt;$F39,$F39-SUM(H$124:H127),H$123-SUM(H$124:H127))</f>
        <v>0</v>
      </c>
      <c r="I128" s="35">
        <f>IF(I$123&gt;$F39,$F39-SUM(I$124:I127),I$123-SUM(I$124:I127))</f>
        <v>0</v>
      </c>
      <c r="J128" s="35">
        <f>IF(J$123&gt;$F39,$F39-SUM(J$124:J127),J$123-SUM(J$124:J127))</f>
        <v>0</v>
      </c>
      <c r="K128" s="35">
        <f>IF(K$123&gt;$F39,$F39-SUM(K$124:K127),K$123-SUM(K$124:K127))</f>
        <v>0</v>
      </c>
      <c r="L128" s="35">
        <f>IF(L$123&gt;$F39,$F39-SUM(L$124:L127),L$123-SUM(L$124:L127))</f>
        <v>0</v>
      </c>
      <c r="M128" s="35">
        <f>IF(M$123&gt;$F39,$F39-SUM(M$124:M127),M$123-SUM(M$124:M127))</f>
        <v>0</v>
      </c>
      <c r="N128" s="35">
        <f>IF(N$123&gt;$F39,$F39-SUM(N$124:N127),N$123-SUM(N$124:N127))</f>
        <v>0</v>
      </c>
      <c r="O128" s="35">
        <f>IF(O$123&gt;$F39,$F39-SUM(O$124:O127),O$123-SUM(O$124:O127))</f>
        <v>0</v>
      </c>
      <c r="P128" s="35">
        <f>IF(P$123&gt;$F39,$F39-SUM(P$124:P127),P$123-SUM(P$124:P127))</f>
        <v>0</v>
      </c>
    </row>
    <row r="129" spans="3:16" hidden="1" outlineLevel="1" x14ac:dyDescent="0.4">
      <c r="C129" s="36" t="s">
        <v>40</v>
      </c>
      <c r="D129" s="34" t="s">
        <v>15</v>
      </c>
      <c r="E129" s="35">
        <f>IF(E$123&gt;$F40,$F40-SUM(E$124:E128),E$123-SUM(E$124:E128))</f>
        <v>0</v>
      </c>
      <c r="F129" s="35">
        <f>IF(F$123&gt;$F40,$F40-SUM(F$124:F128),F$123-SUM(F$124:F128))</f>
        <v>0</v>
      </c>
      <c r="G129" s="35">
        <f>IF(G$123&gt;$F40,$F40-SUM(G$124:G128),G$123-SUM(G$124:G128))</f>
        <v>0</v>
      </c>
      <c r="H129" s="35">
        <f>IF(H$123&gt;$F40,$F40-SUM(H$124:H128),H$123-SUM(H$124:H128))</f>
        <v>0</v>
      </c>
      <c r="I129" s="35">
        <f>IF(I$123&gt;$F40,$F40-SUM(I$124:I128),I$123-SUM(I$124:I128))</f>
        <v>0</v>
      </c>
      <c r="J129" s="35">
        <f>IF(J$123&gt;$F40,$F40-SUM(J$124:J128),J$123-SUM(J$124:J128))</f>
        <v>0</v>
      </c>
      <c r="K129" s="35">
        <f>IF(K$123&gt;$F40,$F40-SUM(K$124:K128),K$123-SUM(K$124:K128))</f>
        <v>0</v>
      </c>
      <c r="L129" s="35">
        <f>IF(L$123&gt;$F40,$F40-SUM(L$124:L128),L$123-SUM(L$124:L128))</f>
        <v>0</v>
      </c>
      <c r="M129" s="35">
        <f>IF(M$123&gt;$F40,$F40-SUM(M$124:M128),M$123-SUM(M$124:M128))</f>
        <v>0</v>
      </c>
      <c r="N129" s="35">
        <f>IF(N$123&gt;$F40,$F40-SUM(N$124:N128),N$123-SUM(N$124:N128))</f>
        <v>0</v>
      </c>
      <c r="O129" s="35">
        <f>IF(O$123&gt;$F40,$F40-SUM(O$124:O128),O$123-SUM(O$124:O128))</f>
        <v>0</v>
      </c>
      <c r="P129" s="35">
        <f>IF(P$123&gt;$F40,$F40-SUM(P$124:P128),P$123-SUM(P$124:P128))</f>
        <v>0</v>
      </c>
    </row>
    <row r="130" spans="3:16" x14ac:dyDescent="0.4">
      <c r="C130" s="36" t="s">
        <v>40</v>
      </c>
      <c r="D130" t="s">
        <v>45</v>
      </c>
      <c r="E130" s="4">
        <f>E$14*$H$51</f>
        <v>32617.5</v>
      </c>
      <c r="F130" s="4">
        <f t="shared" ref="F130:P130" si="57">F$14*$H$51</f>
        <v>34295.5</v>
      </c>
      <c r="G130" s="4">
        <f t="shared" si="57"/>
        <v>37517.5</v>
      </c>
      <c r="H130" s="4">
        <f t="shared" si="57"/>
        <v>41479.086204759893</v>
      </c>
      <c r="I130" s="4">
        <f t="shared" si="57"/>
        <v>45527.66098785917</v>
      </c>
      <c r="J130" s="4">
        <f t="shared" si="57"/>
        <v>49013.822777364185</v>
      </c>
      <c r="K130" s="4">
        <f t="shared" si="57"/>
        <v>52470.369254878227</v>
      </c>
      <c r="L130" s="4">
        <f t="shared" si="57"/>
        <v>55915.419145401189</v>
      </c>
      <c r="M130" s="4">
        <f t="shared" si="57"/>
        <v>59681.786542028836</v>
      </c>
      <c r="N130" s="4">
        <f t="shared" si="57"/>
        <v>63326.452387767225</v>
      </c>
      <c r="O130" s="4">
        <f t="shared" si="57"/>
        <v>65349.123727735277</v>
      </c>
      <c r="P130" s="4">
        <f t="shared" si="57"/>
        <v>65912.621676267096</v>
      </c>
    </row>
    <row r="131" spans="3:16" x14ac:dyDescent="0.4">
      <c r="C131" s="36" t="s">
        <v>40</v>
      </c>
      <c r="D131" s="1" t="s">
        <v>41</v>
      </c>
      <c r="E131" s="32">
        <f>E114+E123+E130</f>
        <v>128220.3</v>
      </c>
      <c r="F131" s="32">
        <f t="shared" ref="F131" si="58">F114+F123+F130</f>
        <v>132249.09999999998</v>
      </c>
      <c r="G131" s="32">
        <f t="shared" ref="G131" si="59">G114+G123+G130</f>
        <v>146382.70000000001</v>
      </c>
      <c r="H131" s="32">
        <f t="shared" ref="H131" si="60">H114+H123+H130</f>
        <v>161300.47586641269</v>
      </c>
      <c r="I131" s="32">
        <f t="shared" ref="I131" si="61">I114+I123+I130</f>
        <v>175949.6522855162</v>
      </c>
      <c r="J131" s="32">
        <f t="shared" ref="J131" si="62">J114+J123+J130</f>
        <v>187348.21664310433</v>
      </c>
      <c r="K131" s="32">
        <f t="shared" ref="K131" si="63">K114+K123+K130</f>
        <v>199655.0469338515</v>
      </c>
      <c r="L131" s="32">
        <f t="shared" ref="L131" si="64">L114+L123+L130</f>
        <v>211886.26552342129</v>
      </c>
      <c r="M131" s="32">
        <f t="shared" ref="M131" si="65">M114+M123+M130</f>
        <v>225929.53037804054</v>
      </c>
      <c r="N131" s="32">
        <f t="shared" ref="N131" si="66">N114+N123+N130</f>
        <v>238602.93621376241</v>
      </c>
      <c r="O131" s="32">
        <f t="shared" ref="O131" si="67">O114+O123+O130</f>
        <v>242226.67396042543</v>
      </c>
      <c r="P131" s="32">
        <f t="shared" ref="P131" si="68">P114+P123+P130</f>
        <v>247501.91359506769</v>
      </c>
    </row>
    <row r="133" spans="3:16" x14ac:dyDescent="0.4">
      <c r="D133" s="1" t="s">
        <v>42</v>
      </c>
      <c r="E133" s="3">
        <v>46053</v>
      </c>
      <c r="F133" s="3">
        <f>EOMONTH(E133,1)</f>
        <v>46081</v>
      </c>
      <c r="G133" s="3">
        <f t="shared" ref="G133:P133" si="69">EOMONTH(F133,1)</f>
        <v>46112</v>
      </c>
      <c r="H133" s="3">
        <f t="shared" si="69"/>
        <v>46142</v>
      </c>
      <c r="I133" s="3">
        <f t="shared" si="69"/>
        <v>46173</v>
      </c>
      <c r="J133" s="3">
        <f t="shared" si="69"/>
        <v>46203</v>
      </c>
      <c r="K133" s="3">
        <f t="shared" si="69"/>
        <v>46234</v>
      </c>
      <c r="L133" s="3">
        <f t="shared" si="69"/>
        <v>46265</v>
      </c>
      <c r="M133" s="3">
        <f t="shared" si="69"/>
        <v>46295</v>
      </c>
      <c r="N133" s="3">
        <f t="shared" si="69"/>
        <v>46326</v>
      </c>
      <c r="O133" s="3">
        <f t="shared" si="69"/>
        <v>46356</v>
      </c>
      <c r="P133" s="3">
        <f t="shared" si="69"/>
        <v>46387</v>
      </c>
    </row>
    <row r="134" spans="3:16" x14ac:dyDescent="0.4">
      <c r="D134" t="s">
        <v>49</v>
      </c>
      <c r="E134" s="4">
        <f>SUMPRODUCT(E115:E122,$G$24:$G$31)*1.18*$E$4</f>
        <v>0</v>
      </c>
      <c r="F134" s="4">
        <f t="shared" ref="F134:P134" si="70">SUMPRODUCT(F115:F122,$G$24:$G$31)*1.18*$E$4</f>
        <v>0</v>
      </c>
      <c r="G134" s="4">
        <f t="shared" si="70"/>
        <v>0</v>
      </c>
      <c r="H134" s="4">
        <f t="shared" si="70"/>
        <v>0</v>
      </c>
      <c r="I134" s="4">
        <f t="shared" si="70"/>
        <v>0</v>
      </c>
      <c r="J134" s="4">
        <f t="shared" si="70"/>
        <v>0</v>
      </c>
      <c r="K134" s="4">
        <f t="shared" si="70"/>
        <v>0</v>
      </c>
      <c r="L134" s="4">
        <f t="shared" si="70"/>
        <v>0</v>
      </c>
      <c r="M134" s="4">
        <f t="shared" si="70"/>
        <v>0</v>
      </c>
      <c r="N134" s="4">
        <f t="shared" si="70"/>
        <v>0</v>
      </c>
      <c r="O134" s="4">
        <f t="shared" si="70"/>
        <v>0</v>
      </c>
      <c r="P134" s="4">
        <f t="shared" si="70"/>
        <v>0</v>
      </c>
    </row>
    <row r="135" spans="3:16" x14ac:dyDescent="0.4">
      <c r="D135" t="s">
        <v>50</v>
      </c>
      <c r="E135" s="4">
        <f>SUMPRODUCT(E124:E129,$G$35:$G$40)*1.18*$E$4</f>
        <v>16820.5154616</v>
      </c>
      <c r="F135" s="4">
        <f t="shared" ref="F135:P135" si="71">SUMPRODUCT(F124:F129,$G$35:$G$40)*1.18*$E$4</f>
        <v>17126.758879199999</v>
      </c>
      <c r="G135" s="4">
        <f t="shared" si="71"/>
        <v>18548.234834400002</v>
      </c>
      <c r="H135" s="4">
        <f t="shared" si="71"/>
        <v>19495.725046251773</v>
      </c>
      <c r="I135" s="4">
        <f t="shared" si="71"/>
        <v>20358.826031455235</v>
      </c>
      <c r="J135" s="4">
        <f t="shared" si="71"/>
        <v>21003.053848548563</v>
      </c>
      <c r="K135" s="4">
        <f t="shared" si="71"/>
        <v>21723.643956622003</v>
      </c>
      <c r="L135" s="4">
        <f t="shared" si="71"/>
        <v>22439.013812098394</v>
      </c>
      <c r="M135" s="4">
        <f t="shared" si="71"/>
        <v>23275.758803128076</v>
      </c>
      <c r="N135" s="4">
        <f t="shared" si="71"/>
        <v>24010.878813112526</v>
      </c>
      <c r="O135" s="4">
        <f t="shared" si="71"/>
        <v>24141.237639945633</v>
      </c>
      <c r="P135" s="4">
        <f t="shared" si="71"/>
        <v>24524.867648028747</v>
      </c>
    </row>
    <row r="136" spans="3:16" x14ac:dyDescent="0.4">
      <c r="D136" t="s">
        <v>51</v>
      </c>
      <c r="E136" s="4">
        <f>E130*$G$44*1.18*$E$4</f>
        <v>2190.9664012500002</v>
      </c>
      <c r="F136" s="4">
        <f t="shared" ref="F136:P136" si="72">F130*$G$44*1.18*$E$4</f>
        <v>2303.6801782500002</v>
      </c>
      <c r="G136" s="4">
        <f t="shared" si="72"/>
        <v>2520.1067512500003</v>
      </c>
      <c r="H136" s="4">
        <f t="shared" si="72"/>
        <v>2786.212439003029</v>
      </c>
      <c r="I136" s="4">
        <f t="shared" si="72"/>
        <v>3058.1612800459825</v>
      </c>
      <c r="J136" s="4">
        <f t="shared" si="72"/>
        <v>3292.3319966897184</v>
      </c>
      <c r="K136" s="4">
        <f t="shared" si="72"/>
        <v>3524.5134084040533</v>
      </c>
      <c r="L136" s="4">
        <f t="shared" si="72"/>
        <v>3755.9225771253164</v>
      </c>
      <c r="M136" s="4">
        <f t="shared" si="72"/>
        <v>4008.9151247078898</v>
      </c>
      <c r="N136" s="4">
        <f t="shared" si="72"/>
        <v>4253.7327965649065</v>
      </c>
      <c r="O136" s="4">
        <f t="shared" si="72"/>
        <v>4389.5986644775703</v>
      </c>
      <c r="P136" s="4">
        <f t="shared" si="72"/>
        <v>4427.4496669273758</v>
      </c>
    </row>
    <row r="137" spans="3:16" x14ac:dyDescent="0.4">
      <c r="D137" s="1" t="s">
        <v>52</v>
      </c>
      <c r="E137" s="32">
        <f>E134+E135+E136</f>
        <v>19011.48186285</v>
      </c>
      <c r="F137" s="32">
        <f t="shared" ref="F137" si="73">F134+F135+F136</f>
        <v>19430.439057449999</v>
      </c>
      <c r="G137" s="32">
        <f t="shared" ref="G137" si="74">G134+G135+G136</f>
        <v>21068.341585650003</v>
      </c>
      <c r="H137" s="32">
        <f t="shared" ref="H137" si="75">H134+H135+H136</f>
        <v>22281.937485254803</v>
      </c>
      <c r="I137" s="32">
        <f t="shared" ref="I137" si="76">I134+I135+I136</f>
        <v>23416.987311501216</v>
      </c>
      <c r="J137" s="32">
        <f t="shared" ref="J137" si="77">J134+J135+J136</f>
        <v>24295.385845238281</v>
      </c>
      <c r="K137" s="32">
        <f t="shared" ref="K137" si="78">K134+K135+K136</f>
        <v>25248.157365026058</v>
      </c>
      <c r="L137" s="32">
        <f t="shared" ref="L137" si="79">L134+L135+L136</f>
        <v>26194.936389223709</v>
      </c>
      <c r="M137" s="32">
        <f t="shared" ref="M137" si="80">M134+M135+M136</f>
        <v>27284.673927835967</v>
      </c>
      <c r="N137" s="32">
        <f t="shared" ref="N137" si="81">N134+N135+N136</f>
        <v>28264.611609677431</v>
      </c>
      <c r="O137" s="32">
        <f t="shared" ref="O137" si="82">O134+O135+O136</f>
        <v>28530.836304423203</v>
      </c>
      <c r="P137" s="32">
        <f t="shared" ref="P137" si="83">P134+P135+P136</f>
        <v>28952.317314956123</v>
      </c>
    </row>
  </sheetData>
  <mergeCells count="1">
    <mergeCell ref="F49:G49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Oviedo Morales Nicolas</dc:creator>
  <cp:lastModifiedBy>Oviedo Morales Nicolas</cp:lastModifiedBy>
  <dcterms:created xsi:type="dcterms:W3CDTF">2026-04-15T00:21:42Z</dcterms:created>
  <dcterms:modified xsi:type="dcterms:W3CDTF">2026-04-16T01:13:24Z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2026-04-15T01:34:46Z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ae9755e8-72e7-4b22-b5f8-1482fd12c58b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