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0" documentId="8_{7AA6282C-FBA3-4F84-BF93-F5ACB2D77AD8}" xr6:coauthVersionLast="47" xr6:coauthVersionMax="47" xr10:uidLastSave="{00000000-0000-0000-0000-000000000000}"/>
  <bookViews>
    <workbookView xWindow="0" yWindow="0" windowWidth="16384" windowHeight="8192" tabRatio="500" firstSheet="1" activeTab="1" xr2:uid="{00000000-000D-0000-FFFF-FFFF00000000}"/>
  </bookViews>
  <sheets>
    <sheet name="Resumen" sheetId="1" r:id="rId1"/>
    <sheet name=" Capa Integración" sheetId="2" r:id="rId2"/>
    <sheet name="Capa API" sheetId="3" r:id="rId3"/>
    <sheet name="Capa Orquestación" sheetId="5" r:id="rId4"/>
    <sheet name="Plan de Deploy" sheetId="4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D22" i="3" l="1"/>
  <c r="F38" i="4"/>
  <c r="G13" i="4"/>
  <c r="F9" i="4"/>
  <c r="G9" i="4"/>
  <c r="F28" i="4"/>
  <c r="G39" i="4"/>
  <c r="G7" i="4"/>
  <c r="G6" i="4"/>
  <c r="G24" i="4"/>
  <c r="AE4" i="5"/>
  <c r="F34" i="4"/>
  <c r="G34" i="4"/>
  <c r="H34" i="4"/>
  <c r="G35" i="4"/>
  <c r="H35" i="4"/>
  <c r="F36" i="4"/>
  <c r="G36" i="4"/>
  <c r="H36" i="4"/>
  <c r="F37" i="4"/>
  <c r="G37" i="4"/>
  <c r="H37" i="4"/>
  <c r="G38" i="4"/>
  <c r="H38" i="4"/>
  <c r="F39" i="4"/>
  <c r="H39" i="4"/>
  <c r="H33" i="4"/>
  <c r="G33" i="4"/>
  <c r="F33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H24" i="4"/>
  <c r="F25" i="4"/>
  <c r="G25" i="4"/>
  <c r="H25" i="4"/>
  <c r="F26" i="4"/>
  <c r="G26" i="4"/>
  <c r="H26" i="4"/>
  <c r="F27" i="4"/>
  <c r="G27" i="4"/>
  <c r="H27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H17" i="4"/>
  <c r="G17" i="4"/>
  <c r="F17" i="4"/>
  <c r="H6" i="4"/>
  <c r="H7" i="4"/>
  <c r="G8" i="4"/>
  <c r="H8" i="4"/>
  <c r="H9" i="4"/>
  <c r="G10" i="4"/>
  <c r="H10" i="4"/>
  <c r="G11" i="4"/>
  <c r="H11" i="4"/>
  <c r="G12" i="4"/>
  <c r="H12" i="4"/>
  <c r="H13" i="4"/>
  <c r="G14" i="4"/>
  <c r="H14" i="4"/>
  <c r="G15" i="4"/>
  <c r="H15" i="4"/>
  <c r="G16" i="4"/>
  <c r="H16" i="4"/>
  <c r="H5" i="4"/>
  <c r="G5" i="4"/>
  <c r="F6" i="4"/>
  <c r="F7" i="4"/>
  <c r="F8" i="4"/>
  <c r="F10" i="4"/>
  <c r="F11" i="4"/>
  <c r="F12" i="4"/>
  <c r="F13" i="4"/>
  <c r="F14" i="4"/>
  <c r="F15" i="4"/>
  <c r="F16" i="4"/>
  <c r="F5" i="4"/>
  <c r="D34" i="4"/>
  <c r="D35" i="4"/>
  <c r="D36" i="4"/>
  <c r="D37" i="4"/>
  <c r="D38" i="4"/>
  <c r="D39" i="4"/>
  <c r="D33" i="4"/>
  <c r="E34" i="4"/>
  <c r="E35" i="4"/>
  <c r="E36" i="4"/>
  <c r="E37" i="4"/>
  <c r="E38" i="4"/>
  <c r="E39" i="4"/>
  <c r="E33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E21" i="4"/>
  <c r="E22" i="4"/>
  <c r="E23" i="4"/>
  <c r="E24" i="4"/>
  <c r="E25" i="4"/>
  <c r="E26" i="4"/>
  <c r="E27" i="4"/>
  <c r="E28" i="4"/>
  <c r="E29" i="4"/>
  <c r="E30" i="4"/>
  <c r="E31" i="4"/>
  <c r="E32" i="4"/>
  <c r="E20" i="4"/>
  <c r="E18" i="4"/>
  <c r="E19" i="4"/>
  <c r="E17" i="4"/>
  <c r="D17" i="4"/>
  <c r="E16" i="4"/>
  <c r="E15" i="4"/>
  <c r="E14" i="4"/>
  <c r="E9" i="4"/>
  <c r="E10" i="4"/>
  <c r="H4" i="4"/>
  <c r="G4" i="4"/>
  <c r="F4" i="4"/>
  <c r="E4" i="4"/>
  <c r="B34" i="4"/>
  <c r="B35" i="4"/>
  <c r="B36" i="4"/>
  <c r="B37" i="4"/>
  <c r="B38" i="4"/>
  <c r="B39" i="4"/>
  <c r="B33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17" i="4"/>
  <c r="B14" i="4"/>
  <c r="B15" i="4"/>
  <c r="B16" i="4"/>
  <c r="B6" i="4"/>
  <c r="B7" i="4"/>
  <c r="B8" i="4"/>
  <c r="B9" i="4"/>
  <c r="B10" i="4"/>
  <c r="B11" i="4"/>
  <c r="B12" i="4"/>
  <c r="B13" i="4"/>
  <c r="B5" i="4"/>
  <c r="AF4" i="3"/>
  <c r="AE4" i="3"/>
  <c r="AD4" i="3"/>
  <c r="AC4" i="3"/>
  <c r="AB4" i="3"/>
  <c r="AA4" i="3"/>
  <c r="B45" i="1"/>
  <c r="B44" i="1"/>
  <c r="B43" i="1"/>
  <c r="B42" i="1"/>
  <c r="B41" i="1"/>
  <c r="B40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E15" i="1"/>
  <c r="E14" i="1"/>
  <c r="G15" i="1"/>
  <c r="G14" i="1"/>
  <c r="C15" i="1"/>
  <c r="D15" i="1" s="1"/>
  <c r="C13" i="1"/>
  <c r="G15" i="3"/>
  <c r="G14" i="3"/>
  <c r="G16" i="3"/>
  <c r="G11" i="5"/>
  <c r="G9" i="5"/>
  <c r="G7" i="5"/>
  <c r="G8" i="5"/>
  <c r="G10" i="5"/>
  <c r="G6" i="5"/>
  <c r="G5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2" i="5"/>
  <c r="E6" i="4"/>
  <c r="E7" i="4"/>
  <c r="E8" i="4"/>
  <c r="E11" i="4"/>
  <c r="E12" i="4"/>
  <c r="E13" i="4"/>
  <c r="E5" i="4"/>
  <c r="C43" i="1"/>
  <c r="F43" i="1" s="1"/>
  <c r="AD18" i="2"/>
  <c r="C14" i="1"/>
  <c r="D14" i="1" s="1"/>
  <c r="D6" i="4"/>
  <c r="D7" i="4"/>
  <c r="D8" i="4"/>
  <c r="D9" i="4"/>
  <c r="D10" i="4"/>
  <c r="D11" i="4"/>
  <c r="D12" i="4"/>
  <c r="D13" i="4"/>
  <c r="D14" i="4"/>
  <c r="D15" i="4"/>
  <c r="D16" i="4"/>
  <c r="D5" i="4"/>
  <c r="C45" i="1"/>
  <c r="F45" i="1" s="1"/>
  <c r="C44" i="1"/>
  <c r="F44" i="1" s="1"/>
  <c r="C42" i="1"/>
  <c r="F42" i="1" s="1"/>
  <c r="C41" i="1"/>
  <c r="C40" i="1"/>
  <c r="F40" i="1" s="1"/>
  <c r="C39" i="1"/>
  <c r="F39" i="1" s="1"/>
  <c r="C38" i="1"/>
  <c r="F38" i="1" s="1"/>
  <c r="C37" i="1"/>
  <c r="F37" i="1" s="1"/>
  <c r="C36" i="1"/>
  <c r="F36" i="1" s="1"/>
  <c r="C35" i="1"/>
  <c r="F35" i="1" s="1"/>
  <c r="C34" i="1"/>
  <c r="F34" i="1" s="1"/>
  <c r="C33" i="1"/>
  <c r="F33" i="1" s="1"/>
  <c r="C32" i="1"/>
  <c r="F32" i="1" s="1"/>
  <c r="C31" i="1"/>
  <c r="F31" i="1" s="1"/>
  <c r="C30" i="1"/>
  <c r="F30" i="1" s="1"/>
  <c r="C29" i="1"/>
  <c r="F29" i="1" s="1"/>
  <c r="C28" i="1"/>
  <c r="F28" i="1" s="1"/>
  <c r="C27" i="1"/>
  <c r="F27" i="1" s="1"/>
  <c r="C26" i="1"/>
  <c r="F26" i="1" s="1"/>
  <c r="C25" i="1"/>
  <c r="F25" i="1" s="1"/>
  <c r="C24" i="1"/>
  <c r="F24" i="1" s="1"/>
  <c r="C22" i="1"/>
  <c r="F22" i="1" s="1"/>
  <c r="C23" i="1"/>
  <c r="F23" i="1" s="1"/>
  <c r="C21" i="1"/>
  <c r="F21" i="1" s="1"/>
  <c r="E13" i="1"/>
  <c r="E16" i="1" s="1"/>
  <c r="G13" i="1"/>
  <c r="G16" i="1" s="1"/>
  <c r="V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W18" i="2"/>
  <c r="X18" i="2"/>
  <c r="Y18" i="2"/>
  <c r="Z18" i="2"/>
  <c r="AA18" i="2"/>
  <c r="AB18" i="2"/>
  <c r="AC18" i="2"/>
  <c r="AE18" i="2"/>
  <c r="AF18" i="2"/>
  <c r="H18" i="2"/>
  <c r="H14" i="1"/>
  <c r="AF22" i="3"/>
  <c r="AE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0" i="3"/>
  <c r="G19" i="3"/>
  <c r="G18" i="3"/>
  <c r="G17" i="3"/>
  <c r="G13" i="3"/>
  <c r="G12" i="3"/>
  <c r="G11" i="3"/>
  <c r="G10" i="3"/>
  <c r="G9" i="3"/>
  <c r="G8" i="3"/>
  <c r="G7" i="3"/>
  <c r="G6" i="3"/>
  <c r="G5" i="3"/>
  <c r="G21" i="3" s="1"/>
  <c r="G16" i="2"/>
  <c r="G15" i="2"/>
  <c r="G14" i="2"/>
  <c r="G12" i="2"/>
  <c r="G13" i="2"/>
  <c r="G11" i="2"/>
  <c r="G10" i="2"/>
  <c r="G9" i="2"/>
  <c r="G8" i="2"/>
  <c r="G7" i="2"/>
  <c r="G6" i="2"/>
  <c r="G5" i="2"/>
  <c r="F41" i="1" l="1"/>
  <c r="D7" i="1"/>
  <c r="D13" i="1"/>
  <c r="C16" i="1"/>
  <c r="G44" i="1" s="1"/>
  <c r="F15" i="1"/>
  <c r="H15" i="1"/>
  <c r="B7" i="1"/>
  <c r="F14" i="1"/>
  <c r="F13" i="1"/>
  <c r="G17" i="2"/>
  <c r="G41" i="1" l="1"/>
  <c r="G40" i="1"/>
  <c r="G42" i="1"/>
  <c r="G43" i="1"/>
  <c r="C71" i="1" s="1"/>
  <c r="G21" i="1"/>
  <c r="C49" i="1" s="1"/>
  <c r="G45" i="1"/>
  <c r="C73" i="1" s="1"/>
  <c r="C72" i="1"/>
  <c r="C70" i="1"/>
  <c r="C68" i="1"/>
  <c r="G39" i="1"/>
  <c r="C67" i="1" s="1"/>
  <c r="G38" i="1"/>
  <c r="C66" i="1" s="1"/>
  <c r="G37" i="1"/>
  <c r="C65" i="1" s="1"/>
  <c r="G36" i="1"/>
  <c r="C64" i="1" s="1"/>
  <c r="G35" i="1"/>
  <c r="C63" i="1" s="1"/>
  <c r="G34" i="1"/>
  <c r="C62" i="1" s="1"/>
  <c r="G33" i="1"/>
  <c r="C61" i="1" s="1"/>
  <c r="G32" i="1"/>
  <c r="C60" i="1" s="1"/>
  <c r="G31" i="1"/>
  <c r="C59" i="1" s="1"/>
  <c r="G30" i="1"/>
  <c r="C58" i="1" s="1"/>
  <c r="G29" i="1"/>
  <c r="C57" i="1" s="1"/>
  <c r="G28" i="1"/>
  <c r="C56" i="1" s="1"/>
  <c r="G27" i="1"/>
  <c r="C55" i="1" s="1"/>
  <c r="G26" i="1"/>
  <c r="C54" i="1" s="1"/>
  <c r="G25" i="1"/>
  <c r="C53" i="1" s="1"/>
  <c r="G24" i="1"/>
  <c r="C52" i="1" s="1"/>
  <c r="G23" i="1"/>
  <c r="C51" i="1" s="1"/>
  <c r="G22" i="1"/>
  <c r="C50" i="1" s="1"/>
  <c r="C69" i="1"/>
  <c r="I7" i="1"/>
  <c r="F7" i="1"/>
  <c r="D16" i="1"/>
  <c r="H13" i="1"/>
  <c r="H16" i="1" s="1"/>
  <c r="F16" i="1"/>
  <c r="C7" i="1" l="1"/>
  <c r="E7" i="1"/>
</calcChain>
</file>

<file path=xl/sharedStrings.xml><?xml version="1.0" encoding="utf-8"?>
<sst xmlns="http://schemas.openxmlformats.org/spreadsheetml/2006/main" count="1417" uniqueCount="243">
  <si>
    <t>MIGRACIÓN BACKEND — SEGUIMIENTO GLOBAL DE ACTIVIDADES</t>
  </si>
  <si>
    <t>Proyectos: Core_Surgir  |  Onboarding  |  Web Surgir   ·   Capas: Integración + Backend   ·   Total APIs: 35  |  Total actividades por API: 25</t>
  </si>
  <si>
    <t>TOTAL APIs</t>
  </si>
  <si>
    <t>ACTIVIDADES
TOTALES</t>
  </si>
  <si>
    <t>ACTVS.
COMPLETADAS</t>
  </si>
  <si>
    <t>% AVANCE
GLOBAL</t>
  </si>
  <si>
    <t>PEND. DEPLOY
DEV</t>
  </si>
  <si>
    <t>META</t>
  </si>
  <si>
    <t>NODE/JAVA
VERSIONES</t>
  </si>
  <si>
    <t>SONAR
PENDIENTE</t>
  </si>
  <si>
    <t>Abr 2026</t>
  </si>
  <si>
    <t>24 / 21</t>
  </si>
  <si>
    <t>12 Integ. + 16 Back. + 7 Orq.</t>
  </si>
  <si>
    <t>24 act. x 35 APIs</t>
  </si>
  <si>
    <t>de 840 actividades</t>
  </si>
  <si>
    <t>todas las actividades</t>
  </si>
  <si>
    <t>Ningún API desplegado aún</t>
  </si>
  <si>
    <t>Go Live adelantado</t>
  </si>
  <si>
    <t>NodeJS 24 + Java 21</t>
  </si>
  <si>
    <t>Todas las APIs pendiente</t>
  </si>
  <si>
    <t>RESUMEN POR CAPA — Progreso de actividades completadas</t>
  </si>
  <si>
    <t>Capa</t>
  </si>
  <si>
    <t>APIs</t>
  </si>
  <si>
    <t>Act. Totales</t>
  </si>
  <si>
    <t>Completadas</t>
  </si>
  <si>
    <t>En Curso</t>
  </si>
  <si>
    <t>Pendientes</t>
  </si>
  <si>
    <t>% Avance</t>
  </si>
  <si>
    <t>Deploy DEV</t>
  </si>
  <si>
    <t>Integración</t>
  </si>
  <si>
    <t>Pendiente</t>
  </si>
  <si>
    <t>API</t>
  </si>
  <si>
    <t>Orquestación</t>
  </si>
  <si>
    <t>TOTAL GENERAL</t>
  </si>
  <si>
    <t>PROGRESO POR ACTIVIDAD — % de APIs con la tarea completada (capa integración + capa backend)</t>
  </si>
  <si>
    <t>Actividad</t>
  </si>
  <si>
    <t>Completadas
(Integ.)</t>
  </si>
  <si>
    <t>Completadas
(Back.)</t>
  </si>
  <si>
    <t>Completadas
(Orq.)</t>
  </si>
  <si>
    <t>Total
Complet.</t>
  </si>
  <si>
    <t>% APIs
Completadas</t>
  </si>
  <si>
    <t>Estado
global</t>
  </si>
  <si>
    <t>Creación de componente Gluon</t>
  </si>
  <si>
    <t>Completado</t>
  </si>
  <si>
    <t>Migrar versión Java 11 a 21</t>
  </si>
  <si>
    <t>Migrar SQL hacia Postgres</t>
  </si>
  <si>
    <t>Implementación de arquitectura Gluon</t>
  </si>
  <si>
    <t>Secuencia de deployment con YMLs</t>
  </si>
  <si>
    <t>Generación Swagger de API (.yml)</t>
  </si>
  <si>
    <t>Levantar API (build and dev)</t>
  </si>
  <si>
    <t>Validar endpoints</t>
  </si>
  <si>
    <t>Unit Tests (UTs)</t>
  </si>
  <si>
    <t>Subir cambios a GitHub y Azure</t>
  </si>
  <si>
    <t>Generar PRs a deployment y dev</t>
  </si>
  <si>
    <t xml:space="preserve">Configurar SonarQube / Vulnerabilidades </t>
  </si>
  <si>
    <t>Instalación de node24 en laptop</t>
  </si>
  <si>
    <t>Distributed Tracing (App Insights)</t>
  </si>
  <si>
    <t>Propagación de nuevos headers</t>
  </si>
  <si>
    <t>Validación de headers</t>
  </si>
  <si>
    <t>Modificar dockerfile con imagen adecuada (22 o 24)</t>
  </si>
  <si>
    <t>Corregir statusCode y mensaje de respuesta endpoints</t>
  </si>
  <si>
    <t>Implementar estándar de logging</t>
  </si>
  <si>
    <t>% Completado</t>
  </si>
  <si>
    <t>Comp. Gluon</t>
  </si>
  <si>
    <t>Java 11→21</t>
  </si>
  <si>
    <t>SQL→ Postgres</t>
  </si>
  <si>
    <t>Arq. Gluon</t>
  </si>
  <si>
    <t>Deploy YMLs</t>
  </si>
  <si>
    <t>Swagger .yml</t>
  </si>
  <si>
    <t>Build &amp; Dev</t>
  </si>
  <si>
    <t>Validar Endp.</t>
  </si>
  <si>
    <t>Unit Tests</t>
  </si>
  <si>
    <t>GitHub /Azure</t>
  </si>
  <si>
    <t>PRs Dep/Dev</t>
  </si>
  <si>
    <t>Sonar Qube</t>
  </si>
  <si>
    <t>Node24 Laptop</t>
  </si>
  <si>
    <t>Dist. Tracing</t>
  </si>
  <si>
    <t>Prop. Headers</t>
  </si>
  <si>
    <t>Valid. Headers</t>
  </si>
  <si>
    <t>Dockerf. Imagen</t>
  </si>
  <si>
    <t>StatusCode Resp</t>
  </si>
  <si>
    <t>Std. Logging</t>
  </si>
  <si>
    <t>KeyVault → Env</t>
  </si>
  <si>
    <t>Doc API .md</t>
  </si>
  <si>
    <t>Imagen al ACR</t>
  </si>
  <si>
    <t>Valid. DEV</t>
  </si>
  <si>
    <t>Deploy UAT</t>
  </si>
  <si>
    <t>MIGRACIÓN BACKEND — CAPA INTEGRACIÓN</t>
  </si>
  <si>
    <t>ACTIVIDADES DE DESARROLLO  (21 tareas)</t>
  </si>
  <si>
    <t>DESPLIEGUE Y VALIDACIÓN</t>
  </si>
  <si>
    <t>#</t>
  </si>
  <si>
    <t>Proyecto</t>
  </si>
  <si>
    <t>Componente / API</t>
  </si>
  <si>
    <t>Resp. Dev / DevOps</t>
  </si>
  <si>
    <t>LP</t>
  </si>
  <si>
    <t>Ver.</t>
  </si>
  <si>
    <t>Comp.
Gluon</t>
  </si>
  <si>
    <t>Java
11→21</t>
  </si>
  <si>
    <t>SQL→
Postgres</t>
  </si>
  <si>
    <t>Arq.
Gluon</t>
  </si>
  <si>
    <t>Deploy
YMLs</t>
  </si>
  <si>
    <t>Swagger
.yml</t>
  </si>
  <si>
    <t>Build
&amp; Dev</t>
  </si>
  <si>
    <t>Validar
Endp.</t>
  </si>
  <si>
    <t>Unit
Tests</t>
  </si>
  <si>
    <t>GitHub
/Azure</t>
  </si>
  <si>
    <t>PRs
Dep/Dev</t>
  </si>
  <si>
    <t>Sonar
Qube</t>
  </si>
  <si>
    <t>Node24
Laptop</t>
  </si>
  <si>
    <t>Dist.
Tracing</t>
  </si>
  <si>
    <t>Prop.
Headers</t>
  </si>
  <si>
    <t>Valid.
Headers</t>
  </si>
  <si>
    <t>Dockerf.
Imagen</t>
  </si>
  <si>
    <t>StatusCode
Resp</t>
  </si>
  <si>
    <t>Std.
Logging</t>
  </si>
  <si>
    <t>Capt. Deployment</t>
  </si>
  <si>
    <t>Doc API
.md</t>
  </si>
  <si>
    <t>Carga imagen al ACR</t>
  </si>
  <si>
    <t>Deploy
DEV</t>
  </si>
  <si>
    <t>Valid. Servicio
DEV</t>
  </si>
  <si>
    <t>Deploy
UAT - Pre  PRD</t>
  </si>
  <si>
    <t>OBS</t>
  </si>
  <si>
    <t>APIM</t>
  </si>
  <si>
    <t>Core_Surgir</t>
  </si>
  <si>
    <t>sur-auth-broker-insurance</t>
  </si>
  <si>
    <t>Jairo</t>
  </si>
  <si>
    <t>NodeJS</t>
  </si>
  <si>
    <t>ONB / APP Surgir</t>
  </si>
  <si>
    <t>https://perd3zu1amscapgobcomm001.azure-api.net/API/BROKER-INSURANCE/DEV/V1</t>
  </si>
  <si>
    <t>sur-auth-mid-buro</t>
  </si>
  <si>
    <t>Gonzalo</t>
  </si>
  <si>
    <t>APP Surgir</t>
  </si>
  <si>
    <t>Salida a internet para consumir API terceros</t>
  </si>
  <si>
    <t>https://perd3zu1amscapgobcomm001.azure-api.net/API/MID-BURO/DEV/V1</t>
  </si>
  <si>
    <t>sur-auth-mid-core-bank</t>
  </si>
  <si>
    <t>Todos</t>
  </si>
  <si>
    <t>CERRADO - Bloqueante Redis</t>
  </si>
  <si>
    <t>https://perd3zu1amscapgobcomm001.azure-api.net/API/MID-CORE-BANK/DEV/V1</t>
  </si>
  <si>
    <t>sur-auth-messenger</t>
  </si>
  <si>
    <t>Web</t>
  </si>
  <si>
    <t>https://perd3zu1amscapgobcomm001.azure-api.net/API/MESSENGER/DEV/V1</t>
  </si>
  <si>
    <t>sur-auth-ms-plaft</t>
  </si>
  <si>
    <t>Galvez</t>
  </si>
  <si>
    <t>Java</t>
  </si>
  <si>
    <t>https://perd3zu1amscapgobcomm001.azure-api.net/API/MS-PLAFT/DEV/V1</t>
  </si>
  <si>
    <t>sur-auth-auth-business</t>
  </si>
  <si>
    <t>Ybeth / Jairo</t>
  </si>
  <si>
    <t>https://perd3zu1amscapgobcomm001.azure-api.net/API/AUTH-BUSINESS/DEV/V1</t>
  </si>
  <si>
    <t>sur-auth-base</t>
  </si>
  <si>
    <t>Ybeth / Gonzalo</t>
  </si>
  <si>
    <t>https://perd3zu1amscapgobcomm001.azure-api.net/API/BASES/DEV/V1</t>
  </si>
  <si>
    <t>Onboarding</t>
  </si>
  <si>
    <t>sur-auth-msapimidbusiness</t>
  </si>
  <si>
    <t>ONB</t>
  </si>
  <si>
    <t>https://perd3zu1amscapgobcomm001.azure-api.net/API/MSAPIMIDBUSINESS/DEV/V1</t>
  </si>
  <si>
    <t>sur-auth-msapimidloan</t>
  </si>
  <si>
    <t>Tiene la clase pero no usa Redis.</t>
  </si>
  <si>
    <t>https://perd3zu1amscapgobcomm001.azure-api.net/API/MSAPIMIDLOAN/DEV/V1</t>
  </si>
  <si>
    <t>sur-auth-msapimidcustomer</t>
  </si>
  <si>
    <t>https://perd3zu1amscapgobcomm001.azure-api.net/API/MSAPIMIDCUSTOMER/DEV/V1</t>
  </si>
  <si>
    <t>sur-auth-msmidzytrust</t>
  </si>
  <si>
    <t>Alvaro</t>
  </si>
  <si>
    <t>Bloqueado conexión a Postgresql (Zytrust).</t>
  </si>
  <si>
    <t>https://perd3zu1amscapgobcomm001.azure-api.net/API/MSMIDZYTRUST/DEV/V1</t>
  </si>
  <si>
    <t>sur-auth-ms-mid-identy</t>
  </si>
  <si>
    <t>Brayan</t>
  </si>
  <si>
    <t>https://perd3zu1amscapgobcomm001.azure-api.net/API/MS-MID-IDENTY/DEV/V1</t>
  </si>
  <si>
    <t>TOTAL APIs: 12  |   Avance global de actividades:</t>
  </si>
  <si>
    <t>Completado por actividad:</t>
  </si>
  <si>
    <t>LEYENDA:</t>
  </si>
  <si>
    <t>N/A</t>
  </si>
  <si>
    <t>* se espera terminar el martes 31/03</t>
  </si>
  <si>
    <t>MIGRACIÓN BACKEND — CAPA API</t>
  </si>
  <si>
    <t>sur-auth-authorizers</t>
  </si>
  <si>
    <t>Galvez / Gonzalo</t>
  </si>
  <si>
    <t>Sistematica / APP Surgir</t>
  </si>
  <si>
    <t>Bloqueado conexión a Postgresql (Minerva).</t>
  </si>
  <si>
    <t>https://perd3zu1amscapgobcomm001.azure-api.net/API/AUTHORIZERS/DEV/V1</t>
  </si>
  <si>
    <t>sur-auth-disbursement</t>
  </si>
  <si>
    <t>Khalid</t>
  </si>
  <si>
    <t>Pendiente la creación del Queue</t>
  </si>
  <si>
    <t>https://perd3zu1amscapgobcomm001.azure-api.net/API/DISBURSEMENT/DEV/V1</t>
  </si>
  <si>
    <t>sur-auth-document-generator</t>
  </si>
  <si>
    <t>Bloqueado conexión a Postgresql (Minerva).Faltan probar 2 endpoint que consument PG</t>
  </si>
  <si>
    <t>https://perd3zu1amscapgobcomm001.azure-api.net/API/DOCUMENT-GENERATOR/DEV/V1</t>
  </si>
  <si>
    <t>sur-auth-sistematica</t>
  </si>
  <si>
    <t>Ybeth / Khalid</t>
  </si>
  <si>
    <t>Sistematica</t>
  </si>
  <si>
    <t>Bloqueado conexión a Postgresql (Sistematica).</t>
  </si>
  <si>
    <t>https://perd3zu1amscapgobcomm002.azure-api.net/API/SISTEMATICA/DEV/V1</t>
  </si>
  <si>
    <t>sur-auth-grupal</t>
  </si>
  <si>
    <t>sur-auth-digital-folder</t>
  </si>
  <si>
    <t>https://perd3zu1amscapgobcomm001.azure-api.net/API/DIGITAL-FOLDER/DEV/V1</t>
  </si>
  <si>
    <t>sur-auth-compliance-risk</t>
  </si>
  <si>
    <t>Bloqueado conexión a Postgresql (Rules).</t>
  </si>
  <si>
    <t>sur-auth-send-app</t>
  </si>
  <si>
    <t>https://perd3zu1amscapgobcomm001.azure-api.net/API/SEND-APP/DEV/V1</t>
  </si>
  <si>
    <t>sur-auth-workflow</t>
  </si>
  <si>
    <t>https://perd3zu1amscapgobcomm001.azure-api.net/API/WORKFLOW/DEV/V1</t>
  </si>
  <si>
    <t>sur-auth-sase-cuma-curema</t>
  </si>
  <si>
    <t>https://perd3zu1amscapgobcomm001.azure-api.net/API/CUREMA/DEV/V1</t>
  </si>
  <si>
    <t>sur-auth-opex-trba-crma</t>
  </si>
  <si>
    <t>https://perd3zu1amscapgobcomm001.azure-api.net/API/OPEX-TRBA-CRMA/DEV/V1</t>
  </si>
  <si>
    <t>sur-auth-msapicustomer</t>
  </si>
  <si>
    <t>Rosa</t>
  </si>
  <si>
    <t>No aplica</t>
  </si>
  <si>
    <t>-</t>
  </si>
  <si>
    <t>Servicio no se encuentra en PRD en Surgir Cloud</t>
  </si>
  <si>
    <t>https://perd3zu1amscapgobcomm001.azure-api.net/API/MSAPICUSTOMER/DEV/V1</t>
  </si>
  <si>
    <t>sur-auth-pasarela-pagos</t>
  </si>
  <si>
    <t>sur-auth-msapiloan</t>
  </si>
  <si>
    <t>https://perd3zu1amscapgobcomm001.azure-api.net/API/MSAPILOAN/DEV/V1</t>
  </si>
  <si>
    <t>sur-auth-msapibusiness</t>
  </si>
  <si>
    <t>https://perd3zu1amscapgobcomm001.azure-api.net/API/MSAPIBUSINESS/DEV/V1</t>
  </si>
  <si>
    <t>Web Surgir</t>
  </si>
  <si>
    <t>sur-auth-web-backend</t>
  </si>
  <si>
    <t>https://perd3zu1amscapgobcomm001.azure-api.net/API/WEB-BACKEND/DEV/V1</t>
  </si>
  <si>
    <t>TOTAL APIs: 16   |   Avance global de actividades:</t>
  </si>
  <si>
    <t>MIGRACIÓN BACKEND — CAPA ORQUESTACIÓN</t>
  </si>
  <si>
    <t>API / Componente</t>
  </si>
  <si>
    <t>Resp.</t>
  </si>
  <si>
    <t>Deploy
UAT</t>
  </si>
  <si>
    <t>sur-auth-mstrace</t>
  </si>
  <si>
    <t>https://perd3zu1amscapgobcomm001.azure-api.net/API/MSTRACE/DEV/V1</t>
  </si>
  <si>
    <t>sur-auth-sendonb</t>
  </si>
  <si>
    <t>Consume APIs que están bloqueadas por PostgreSQL</t>
  </si>
  <si>
    <t>https://perd3zu1amscapgobcomm001.azure-api.net/API/SENDONB/DEV/V1</t>
  </si>
  <si>
    <t>sur-auth-rules-evaluation</t>
  </si>
  <si>
    <t>https://perd3zu1amscapgobcomm001.azure-api.net/API/RULES-EVALUATION/DEV/V1</t>
  </si>
  <si>
    <t>sur-auth-broker-functions</t>
  </si>
  <si>
    <t>https://perd3zu1amscapgobcomm001.azure-api.net/API/BROKER-FUNCTIONS/DEV/V1</t>
  </si>
  <si>
    <t>sur-auth-fn-system-auth-core-code</t>
  </si>
  <si>
    <t>Rosa / Khalid</t>
  </si>
  <si>
    <t>https://perd3zu1amscapgobcomm001.azure-api.net/API/FN-SYSTEM-AUTH-CORE-CODE/DEV/V1</t>
  </si>
  <si>
    <t>sur-auth-report-workflow</t>
  </si>
  <si>
    <t>https://perd3zu1amscapgobcomm001.azure-api.net/API/REPORT-WORKFLOW/DEV/V1</t>
  </si>
  <si>
    <t>sur-auth-fn-variables-provider</t>
  </si>
  <si>
    <t>https://perd3zu1amscapgobcomm001.azure-api.net/API/FN-VARIABLES-PROVIDER/DEV/V1</t>
  </si>
  <si>
    <t>TOTAL APIs: 7   |   Avance global de actividades:</t>
  </si>
  <si>
    <t>PLAN DE DEPLOY Y VALIDACIÓN — DEV / UAT</t>
  </si>
  <si>
    <t>Estado Dev
Actividades</t>
  </si>
  <si>
    <t>Criterio de Aceptacion DEV</t>
  </si>
  <si>
    <t>Endpoints OK + Headers + Logs + SonarQube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</si>
</sst>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8">
    <font>
      <sz val="11"/>
      <color theme="1"/>
      <name val="Calibri"/>
      <family val="2"/>
      <charset val="1"/>
    </font>
    <font>
      <b/>
      <sz val="17"/>
      <color rgb="FFFFFFFF"/>
      <name val="Arial"/>
      <charset val="1"/>
    </font>
    <font>
      <i/>
      <sz val="9"/>
      <color rgb="FF7F8C8D"/>
      <name val="Arial"/>
      <charset val="1"/>
    </font>
    <font>
      <b/>
      <sz val="7"/>
      <color rgb="FFFFFFFF"/>
      <name val="Arial"/>
      <charset val="1"/>
    </font>
    <font>
      <b/>
      <sz val="20"/>
      <color rgb="FF2E5FAC"/>
      <name val="Arial"/>
      <charset val="1"/>
    </font>
    <font>
      <b/>
      <sz val="20"/>
      <color rgb="FF1B3A6B"/>
      <name val="Arial"/>
      <charset val="1"/>
    </font>
    <font>
      <b/>
      <sz val="20"/>
      <color rgb="FF1E8449"/>
      <name val="Arial"/>
      <charset val="1"/>
    </font>
    <font>
      <b/>
      <sz val="20"/>
      <color rgb="FF6C3483"/>
      <name val="Arial"/>
      <charset val="1"/>
    </font>
    <font>
      <b/>
      <sz val="20"/>
      <color rgb="FFCA6F1E"/>
      <name val="Arial"/>
      <charset val="1"/>
    </font>
    <font>
      <b/>
      <sz val="20"/>
      <color rgb="FF0E6655"/>
      <name val="Arial"/>
      <charset val="1"/>
    </font>
    <font>
      <b/>
      <sz val="20"/>
      <color rgb="FF7F8C8D"/>
      <name val="Arial"/>
      <charset val="1"/>
    </font>
    <font>
      <sz val="7"/>
      <color rgb="FF7F8C8D"/>
      <name val="Arial"/>
      <charset val="1"/>
    </font>
    <font>
      <b/>
      <sz val="9"/>
      <color rgb="FFFFFFFF"/>
      <name val="Arial"/>
      <charset val="1"/>
    </font>
    <font>
      <sz val="9"/>
      <color rgb="FF2C3E50"/>
      <name val="Arial"/>
      <charset val="1"/>
    </font>
    <font>
      <sz val="9"/>
      <color rgb="FF1E8449"/>
      <name val="Arial"/>
      <charset val="1"/>
    </font>
    <font>
      <sz val="9"/>
      <color rgb="FFCA6F1E"/>
      <name val="Arial"/>
      <charset val="1"/>
    </font>
    <font>
      <sz val="9"/>
      <color rgb="FF7F8C8D"/>
      <name val="Arial"/>
      <charset val="1"/>
    </font>
    <font>
      <b/>
      <sz val="9"/>
      <color rgb="FF7F8C8D"/>
      <name val="Arial"/>
      <charset val="1"/>
    </font>
    <font>
      <b/>
      <sz val="8"/>
      <color rgb="FFCA6F1E"/>
      <name val="Arial"/>
      <charset val="1"/>
    </font>
    <font>
      <b/>
      <sz val="9"/>
      <color rgb="FFCA6F1E"/>
      <name val="Arial"/>
      <charset val="1"/>
    </font>
    <font>
      <b/>
      <sz val="9"/>
      <color rgb="FF2C3E50"/>
      <name val="Arial"/>
      <charset val="1"/>
    </font>
    <font>
      <b/>
      <sz val="9"/>
      <color rgb="FF1E8449"/>
      <name val="Arial"/>
      <charset val="1"/>
    </font>
    <font>
      <b/>
      <sz val="8"/>
      <color rgb="FFFFFFFF"/>
      <name val="Arial"/>
      <charset val="1"/>
    </font>
    <font>
      <sz val="8"/>
      <color rgb="FF2C3E50"/>
      <name val="Arial"/>
      <charset val="1"/>
    </font>
    <font>
      <b/>
      <sz val="8"/>
      <color rgb="FF7F8C8D"/>
      <name val="Arial"/>
      <charset val="1"/>
    </font>
    <font>
      <sz val="7"/>
      <name val="Arial"/>
      <charset val="1"/>
    </font>
    <font>
      <b/>
      <sz val="15"/>
      <color rgb="FFFFFFFF"/>
      <name val="Arial"/>
      <charset val="1"/>
    </font>
    <font>
      <sz val="8"/>
      <color rgb="FF7F8C8D"/>
      <name val="Arial"/>
      <charset val="1"/>
    </font>
    <font>
      <b/>
      <sz val="8"/>
      <color rgb="FF1B3A6B"/>
      <name val="Arial"/>
      <charset val="1"/>
    </font>
    <font>
      <b/>
      <sz val="9"/>
      <color rgb="FF1B3A6B"/>
      <name val="Arial"/>
      <charset val="1"/>
    </font>
    <font>
      <b/>
      <sz val="8"/>
      <color rgb="FF0E6655"/>
      <name val="Arial"/>
      <charset val="1"/>
    </font>
    <font>
      <b/>
      <sz val="9"/>
      <name val="Arial"/>
      <charset val="1"/>
    </font>
    <font>
      <b/>
      <sz val="7"/>
      <color rgb="FFCA6F1E"/>
      <name val="Arial"/>
      <charset val="1"/>
    </font>
    <font>
      <b/>
      <sz val="7"/>
      <color rgb="FF7F8C8D"/>
      <name val="Arial"/>
      <charset val="1"/>
    </font>
    <font>
      <b/>
      <sz val="11"/>
      <color rgb="FF1B3A6B"/>
      <name val="Arial"/>
      <charset val="1"/>
    </font>
    <font>
      <b/>
      <sz val="8"/>
      <color rgb="FF1E8449"/>
      <name val="Arial"/>
      <charset val="1"/>
    </font>
    <font>
      <b/>
      <sz val="8"/>
      <color rgb="FF2E5FAC"/>
      <name val="Arial"/>
      <charset val="1"/>
    </font>
    <font>
      <b/>
      <sz val="7"/>
      <color rgb="FF1E8449"/>
      <name val="Arial"/>
      <charset val="1"/>
    </font>
    <font>
      <b/>
      <sz val="8"/>
      <color rgb="FF6C3483"/>
      <name val="Arial"/>
      <charset val="1"/>
    </font>
    <font>
      <b/>
      <sz val="8"/>
      <color rgb="FFC0392B"/>
      <name val="Arial"/>
      <charset val="1"/>
    </font>
    <font>
      <i/>
      <sz val="8"/>
      <color rgb="FF7F8C8D"/>
      <name val="Arial"/>
      <charset val="1"/>
    </font>
    <font>
      <b/>
      <sz val="11"/>
      <color theme="1"/>
      <name val="Calibri"/>
      <family val="2"/>
      <charset val="1"/>
    </font>
    <font>
      <b/>
      <sz val="16"/>
      <color rgb="FFC0392B"/>
      <name val="Arial"/>
      <charset val="1"/>
    </font>
    <font>
      <sz val="11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7"/>
      <color rgb="FF7030A0"/>
      <name val="Arial"/>
      <charset val="1"/>
    </font>
    <font>
      <b/>
      <sz val="8"/>
      <color rgb="FF7030A0"/>
      <name val="Arial"/>
      <charset val="1"/>
    </font>
    <font>
      <sz val="9"/>
      <color theme="1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1B3A6B"/>
        <bgColor rgb="FF2C3E50"/>
      </patternFill>
    </fill>
    <fill>
      <patternFill patternType="solid">
        <fgColor rgb="FFEBF3FB"/>
        <bgColor rgb="FFF4F6F7"/>
      </patternFill>
    </fill>
    <fill>
      <patternFill patternType="solid">
        <fgColor rgb="FF2E5FAC"/>
        <bgColor rgb="FF1E5B8B"/>
      </patternFill>
    </fill>
    <fill>
      <patternFill patternType="solid">
        <fgColor rgb="FF1E8449"/>
        <bgColor rgb="FF0E6655"/>
      </patternFill>
    </fill>
    <fill>
      <patternFill patternType="solid">
        <fgColor rgb="FF6C3483"/>
        <bgColor rgb="FF993366"/>
      </patternFill>
    </fill>
    <fill>
      <patternFill patternType="solid">
        <fgColor rgb="FFCA6F1E"/>
        <bgColor rgb="FF9A7D0A"/>
      </patternFill>
    </fill>
    <fill>
      <patternFill patternType="solid">
        <fgColor rgb="FFC0392B"/>
        <bgColor rgb="FF993366"/>
      </patternFill>
    </fill>
    <fill>
      <patternFill patternType="solid">
        <fgColor rgb="FF0E6655"/>
        <bgColor rgb="FF1E5B8B"/>
      </patternFill>
    </fill>
    <fill>
      <patternFill patternType="solid">
        <fgColor rgb="FF7F8C8D"/>
        <bgColor rgb="FF878787"/>
      </patternFill>
    </fill>
    <fill>
      <patternFill patternType="solid">
        <fgColor rgb="FFD5E3F0"/>
        <bgColor rgb="FFD0ECE7"/>
      </patternFill>
    </fill>
    <fill>
      <patternFill patternType="solid">
        <fgColor rgb="FFD5F5E3"/>
        <bgColor rgb="FFD0ECE7"/>
      </patternFill>
    </fill>
    <fill>
      <patternFill patternType="solid">
        <fgColor rgb="FFE8DAEF"/>
        <bgColor rgb="FFD9D9D9"/>
      </patternFill>
    </fill>
    <fill>
      <patternFill patternType="solid">
        <fgColor rgb="FFFDEBD0"/>
        <bgColor rgb="FFFEF9C3"/>
      </patternFill>
    </fill>
    <fill>
      <patternFill patternType="solid">
        <fgColor rgb="FFFADBD8"/>
        <bgColor rgb="FFE8DAEF"/>
      </patternFill>
    </fill>
    <fill>
      <patternFill patternType="solid">
        <fgColor rgb="FFD0ECE7"/>
        <bgColor rgb="FFD5F5E3"/>
      </patternFill>
    </fill>
    <fill>
      <patternFill patternType="solid">
        <fgColor rgb="FFF4F6F7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1E5B8B"/>
        <bgColor rgb="FF2E5FAC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1B3A6B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1B3A6B"/>
      </left>
      <right style="thin">
        <color rgb="FF1B3A6B"/>
      </right>
      <top style="thin">
        <color rgb="FF1B3A6B"/>
      </top>
      <bottom style="thin">
        <color rgb="FF1B3A6B"/>
      </bottom>
      <diagonal/>
    </border>
    <border>
      <left style="thin">
        <color rgb="FF1B3A6B"/>
      </left>
      <right/>
      <top style="thin">
        <color rgb="FF1B3A6B"/>
      </top>
      <bottom style="thin">
        <color rgb="FF1B3A6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1B3A6B"/>
      </top>
      <bottom style="thin">
        <color rgb="FF1B3A6B"/>
      </bottom>
      <diagonal/>
    </border>
    <border>
      <left/>
      <right style="thin">
        <color rgb="FF1B3A6B"/>
      </right>
      <top style="thin">
        <color rgb="FF1B3A6B"/>
      </top>
      <bottom style="thin">
        <color rgb="FF1B3A6B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09">
    <xf numFmtId="0" fontId="0" fillId="0" borderId="0" xfId="0"/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0" fillId="1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4" borderId="2" xfId="0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16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0" fillId="2" borderId="0" xfId="0" applyFill="1"/>
    <xf numFmtId="0" fontId="12" fillId="2" borderId="2" xfId="0" applyFont="1" applyFill="1" applyBorder="1" applyAlignment="1">
      <alignment horizontal="center" vertical="center"/>
    </xf>
    <xf numFmtId="0" fontId="13" fillId="18" borderId="2" xfId="0" applyFont="1" applyFill="1" applyBorder="1" applyAlignment="1">
      <alignment horizontal="left" vertical="center"/>
    </xf>
    <xf numFmtId="0" fontId="13" fillId="18" borderId="2" xfId="0" applyFont="1" applyFill="1" applyBorder="1" applyAlignment="1">
      <alignment horizontal="center" vertical="center"/>
    </xf>
    <xf numFmtId="0" fontId="14" fillId="18" borderId="2" xfId="0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6" fillId="18" borderId="2" xfId="0" applyFont="1" applyFill="1" applyBorder="1" applyAlignment="1">
      <alignment horizontal="center" vertical="center"/>
    </xf>
    <xf numFmtId="0" fontId="18" fillId="14" borderId="2" xfId="0" applyFont="1" applyFill="1" applyBorder="1" applyAlignment="1">
      <alignment horizontal="center" vertical="center"/>
    </xf>
    <xf numFmtId="0" fontId="14" fillId="12" borderId="2" xfId="0" applyFont="1" applyFill="1" applyBorder="1" applyAlignment="1">
      <alignment horizontal="center" vertical="center"/>
    </xf>
    <xf numFmtId="9" fontId="19" fillId="14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left" vertical="center"/>
    </xf>
    <xf numFmtId="0" fontId="20" fillId="3" borderId="2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0" fontId="19" fillId="14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18" borderId="2" xfId="0" applyFont="1" applyFill="1" applyBorder="1" applyAlignment="1">
      <alignment horizontal="left" vertical="center"/>
    </xf>
    <xf numFmtId="0" fontId="21" fillId="18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/>
    </xf>
    <xf numFmtId="0" fontId="14" fillId="17" borderId="2" xfId="0" applyFont="1" applyFill="1" applyBorder="1" applyAlignment="1">
      <alignment horizontal="center" vertical="center"/>
    </xf>
    <xf numFmtId="0" fontId="21" fillId="17" borderId="2" xfId="0" applyFont="1" applyFill="1" applyBorder="1" applyAlignment="1">
      <alignment horizontal="center" vertical="center"/>
    </xf>
    <xf numFmtId="0" fontId="24" fillId="17" borderId="2" xfId="0" applyFont="1" applyFill="1" applyBorder="1" applyAlignment="1">
      <alignment horizontal="center" vertical="center"/>
    </xf>
    <xf numFmtId="0" fontId="23" fillId="17" borderId="2" xfId="0" applyFont="1" applyFill="1" applyBorder="1" applyAlignment="1">
      <alignment horizontal="left" vertical="center" wrapText="1"/>
    </xf>
    <xf numFmtId="0" fontId="27" fillId="18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9" fillId="18" borderId="2" xfId="0" applyFont="1" applyFill="1" applyBorder="1" applyAlignment="1">
      <alignment horizontal="left" vertical="center"/>
    </xf>
    <xf numFmtId="0" fontId="30" fillId="18" borderId="2" xfId="0" applyFont="1" applyFill="1" applyBorder="1" applyAlignment="1">
      <alignment horizontal="center" vertical="center"/>
    </xf>
    <xf numFmtId="0" fontId="30" fillId="16" borderId="2" xfId="0" applyFont="1" applyFill="1" applyBorder="1" applyAlignment="1">
      <alignment horizontal="center" vertical="center"/>
    </xf>
    <xf numFmtId="9" fontId="31" fillId="3" borderId="6" xfId="0" applyNumberFormat="1" applyFont="1" applyFill="1" applyBorder="1" applyAlignment="1">
      <alignment horizontal="center" vertical="center"/>
    </xf>
    <xf numFmtId="0" fontId="32" fillId="14" borderId="2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9" fillId="17" borderId="2" xfId="0" applyFont="1" applyFill="1" applyBorder="1" applyAlignment="1">
      <alignment horizontal="left" vertical="center"/>
    </xf>
    <xf numFmtId="0" fontId="30" fillId="17" borderId="2" xfId="0" applyFont="1" applyFill="1" applyBorder="1" applyAlignment="1">
      <alignment horizontal="center" vertical="center"/>
    </xf>
    <xf numFmtId="164" fontId="34" fillId="11" borderId="6" xfId="0" applyNumberFormat="1" applyFont="1" applyFill="1" applyBorder="1" applyAlignment="1">
      <alignment horizontal="center" vertical="center"/>
    </xf>
    <xf numFmtId="0" fontId="35" fillId="12" borderId="2" xfId="0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28" fillId="11" borderId="2" xfId="0" applyFont="1" applyFill="1" applyBorder="1" applyAlignment="1">
      <alignment horizontal="center" vertical="center"/>
    </xf>
    <xf numFmtId="0" fontId="37" fillId="12" borderId="2" xfId="0" applyFont="1" applyFill="1" applyBorder="1" applyAlignment="1">
      <alignment horizontal="center" vertical="center"/>
    </xf>
    <xf numFmtId="0" fontId="38" fillId="13" borderId="2" xfId="0" applyFont="1" applyFill="1" applyBorder="1" applyAlignment="1">
      <alignment horizontal="center" vertical="center"/>
    </xf>
    <xf numFmtId="0" fontId="0" fillId="8" borderId="0" xfId="0" applyFill="1"/>
    <xf numFmtId="0" fontId="12" fillId="2" borderId="2" xfId="0" applyFont="1" applyFill="1" applyBorder="1" applyAlignment="1">
      <alignment horizontal="center" vertical="center" wrapText="1"/>
    </xf>
    <xf numFmtId="0" fontId="39" fillId="15" borderId="2" xfId="0" applyFont="1" applyFill="1" applyBorder="1" applyAlignment="1">
      <alignment horizontal="center" vertical="center"/>
    </xf>
    <xf numFmtId="0" fontId="40" fillId="18" borderId="2" xfId="0" applyFont="1" applyFill="1" applyBorder="1" applyAlignment="1">
      <alignment horizontal="left" vertical="center"/>
    </xf>
    <xf numFmtId="0" fontId="40" fillId="17" borderId="2" xfId="0" applyFont="1" applyFill="1" applyBorder="1" applyAlignment="1">
      <alignment horizontal="left" vertical="center"/>
    </xf>
    <xf numFmtId="0" fontId="27" fillId="18" borderId="0" xfId="0" applyFont="1" applyFill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textRotation="60" wrapText="1"/>
    </xf>
    <xf numFmtId="0" fontId="22" fillId="4" borderId="5" xfId="0" applyFont="1" applyFill="1" applyBorder="1" applyAlignment="1">
      <alignment horizontal="center" vertical="center" textRotation="60" wrapText="1"/>
    </xf>
    <xf numFmtId="0" fontId="0" fillId="0" borderId="0" xfId="0" applyAlignment="1">
      <alignment vertical="center"/>
    </xf>
    <xf numFmtId="0" fontId="25" fillId="0" borderId="8" xfId="0" applyFont="1" applyBorder="1" applyAlignment="1">
      <alignment horizontal="left" vertical="center"/>
    </xf>
    <xf numFmtId="9" fontId="25" fillId="0" borderId="8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9" fontId="18" fillId="14" borderId="2" xfId="0" applyNumberFormat="1" applyFont="1" applyFill="1" applyBorder="1" applyAlignment="1">
      <alignment horizontal="center" vertical="center"/>
    </xf>
    <xf numFmtId="9" fontId="24" fillId="17" borderId="2" xfId="0" applyNumberFormat="1" applyFont="1" applyFill="1" applyBorder="1" applyAlignment="1">
      <alignment horizontal="center" vertical="center"/>
    </xf>
    <xf numFmtId="9" fontId="35" fillId="12" borderId="2" xfId="0" applyNumberFormat="1" applyFont="1" applyFill="1" applyBorder="1" applyAlignment="1">
      <alignment horizontal="center" vertical="center"/>
    </xf>
    <xf numFmtId="0" fontId="42" fillId="15" borderId="2" xfId="0" applyFont="1" applyFill="1" applyBorder="1" applyAlignment="1">
      <alignment horizontal="center" vertical="center" wrapText="1"/>
    </xf>
    <xf numFmtId="9" fontId="7" fillId="13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7" fillId="12" borderId="2" xfId="0" applyFont="1" applyFill="1" applyBorder="1" applyAlignment="1">
      <alignment horizontal="left" vertical="center"/>
    </xf>
    <xf numFmtId="0" fontId="33" fillId="17" borderId="2" xfId="0" applyFont="1" applyFill="1" applyBorder="1" applyAlignment="1">
      <alignment horizontal="left" vertical="center"/>
    </xf>
    <xf numFmtId="0" fontId="43" fillId="20" borderId="0" xfId="0" applyFont="1" applyFill="1"/>
    <xf numFmtId="0" fontId="0" fillId="0" borderId="0" xfId="0" applyAlignment="1">
      <alignment horizontal="left" vertical="center"/>
    </xf>
    <xf numFmtId="0" fontId="43" fillId="20" borderId="0" xfId="0" applyFont="1" applyFill="1" applyAlignment="1">
      <alignment horizontal="left" vertical="center"/>
    </xf>
    <xf numFmtId="0" fontId="43" fillId="21" borderId="0" xfId="0" applyFont="1" applyFill="1" applyAlignment="1">
      <alignment horizontal="left" vertical="center"/>
    </xf>
    <xf numFmtId="0" fontId="45" fillId="22" borderId="2" xfId="0" applyFont="1" applyFill="1" applyBorder="1" applyAlignment="1">
      <alignment horizontal="center" vertical="center"/>
    </xf>
    <xf numFmtId="0" fontId="46" fillId="22" borderId="2" xfId="0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0" xfId="0" applyFont="1" applyAlignment="1">
      <alignment horizontal="center" vertical="center" wrapText="1"/>
    </xf>
    <xf numFmtId="0" fontId="44" fillId="17" borderId="2" xfId="1" applyFill="1" applyBorder="1" applyAlignment="1">
      <alignment horizontal="left" vertical="center"/>
    </xf>
    <xf numFmtId="0" fontId="44" fillId="12" borderId="2" xfId="1" applyFill="1" applyBorder="1" applyAlignment="1">
      <alignment horizontal="left" vertical="center"/>
    </xf>
    <xf numFmtId="0" fontId="29" fillId="23" borderId="2" xfId="0" applyFont="1" applyFill="1" applyBorder="1" applyAlignment="1">
      <alignment horizontal="left" vertical="center"/>
    </xf>
    <xf numFmtId="0" fontId="26" fillId="19" borderId="0" xfId="0" applyFont="1" applyFill="1" applyAlignment="1">
      <alignment horizontal="left" vertical="center"/>
    </xf>
    <xf numFmtId="0" fontId="12" fillId="2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right" vertical="center"/>
    </xf>
    <xf numFmtId="0" fontId="35" fillId="1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2" fillId="4" borderId="3" xfId="0" applyFont="1" applyFill="1" applyBorder="1" applyAlignment="1">
      <alignment horizontal="left" vertical="center"/>
    </xf>
    <xf numFmtId="0" fontId="12" fillId="9" borderId="3" xfId="0" applyFont="1" applyFill="1" applyBorder="1" applyAlignment="1">
      <alignment horizontal="left" vertical="center"/>
    </xf>
    <xf numFmtId="0" fontId="26" fillId="9" borderId="0" xfId="0" applyFont="1" applyFill="1" applyAlignment="1">
      <alignment horizontal="left" vertical="center"/>
    </xf>
    <xf numFmtId="0" fontId="12" fillId="2" borderId="9" xfId="0" applyFont="1" applyFill="1" applyBorder="1" applyAlignment="1">
      <alignment horizontal="right" vertical="center"/>
    </xf>
    <xf numFmtId="0" fontId="12" fillId="2" borderId="10" xfId="0" applyFont="1" applyFill="1" applyBorder="1" applyAlignment="1">
      <alignment horizontal="right" vertical="center"/>
    </xf>
    <xf numFmtId="0" fontId="26" fillId="2" borderId="0" xfId="0" applyFont="1" applyFill="1" applyAlignment="1">
      <alignment horizontal="left" vertical="center"/>
    </xf>
    <xf numFmtId="0" fontId="28" fillId="3" borderId="3" xfId="0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008000"/>
      <rgbColor rgb="FF000080"/>
      <rgbColor rgb="FF9A7D0A"/>
      <rgbColor rgb="FF800080"/>
      <rgbColor rgb="FF0E6655"/>
      <rgbColor rgb="FFBDC3C7"/>
      <rgbColor rgb="FF878787"/>
      <rgbColor rgb="FF9999FF"/>
      <rgbColor rgb="FF6C3483"/>
      <rgbColor rgb="FFFEF9C3"/>
      <rgbColor rgb="FFD0ECE7"/>
      <rgbColor rgb="FF660066"/>
      <rgbColor rgb="FFFF8080"/>
      <rgbColor rgb="FF2E5FAC"/>
      <rgbColor rgb="FFD9D9D9"/>
      <rgbColor rgb="FF000080"/>
      <rgbColor rgb="FFFF00FF"/>
      <rgbColor rgb="FFFFFF00"/>
      <rgbColor rgb="FF00FFFF"/>
      <rgbColor rgb="FF800080"/>
      <rgbColor rgb="FF800000"/>
      <rgbColor rgb="FF1E5B8B"/>
      <rgbColor rgb="FF0000FF"/>
      <rgbColor rgb="FF00CCFF"/>
      <rgbColor rgb="FFEBF3FB"/>
      <rgbColor rgb="FFD5F5E3"/>
      <rgbColor rgb="FFFDEBD0"/>
      <rgbColor rgb="FFD5E3F0"/>
      <rgbColor rgb="FFF4F6F7"/>
      <rgbColor rgb="FFE8DAEF"/>
      <rgbColor rgb="FFFADBD8"/>
      <rgbColor rgb="FF3366FF"/>
      <rgbColor rgb="FF33CCCC"/>
      <rgbColor rgb="FF99CC00"/>
      <rgbColor rgb="FFFFCC00"/>
      <rgbColor rgb="FFFF9900"/>
      <rgbColor rgb="FFCA6F1E"/>
      <rgbColor rgb="FF666699"/>
      <rgbColor rgb="FF7F8C8D"/>
      <rgbColor rgb="FF1B3A6B"/>
      <rgbColor rgb="FF1E8449"/>
      <rgbColor rgb="FF003300"/>
      <rgbColor rgb="FF333300"/>
      <rgbColor rgb="FFC0392B"/>
      <rgbColor rgb="FF993366"/>
      <rgbColor rgb="FF333399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% de APIs con actividad completada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Resumen!C48</c:f>
              <c:strCache>
                <c:ptCount val="1"/>
                <c:pt idx="0">
                  <c:v>% Completado</c:v>
                </c:pt>
              </c:strCache>
            </c:strRef>
          </c:tx>
          <c:spPr>
            <a:solidFill>
              <a:srgbClr val="1E844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Resumen!$B$49:$B$73</c:f>
              <c:strCache>
                <c:ptCount val="25"/>
                <c:pt idx="0">
                  <c:v>Comp. Gluon</c:v>
                </c:pt>
                <c:pt idx="1">
                  <c:v>Java 11→21</c:v>
                </c:pt>
                <c:pt idx="2">
                  <c:v>SQL→ Postgres</c:v>
                </c:pt>
                <c:pt idx="3">
                  <c:v>Arq. Gluon</c:v>
                </c:pt>
                <c:pt idx="4">
                  <c:v>Deploy YMLs</c:v>
                </c:pt>
                <c:pt idx="5">
                  <c:v>Swagger .yml</c:v>
                </c:pt>
                <c:pt idx="6">
                  <c:v>Build &amp; Dev</c:v>
                </c:pt>
                <c:pt idx="7">
                  <c:v>Validar Endp.</c:v>
                </c:pt>
                <c:pt idx="8">
                  <c:v>Unit Tests</c:v>
                </c:pt>
                <c:pt idx="9">
                  <c:v>GitHub /Azure</c:v>
                </c:pt>
                <c:pt idx="10">
                  <c:v>PRs Dep/Dev</c:v>
                </c:pt>
                <c:pt idx="11">
                  <c:v>Sonar Qube</c:v>
                </c:pt>
                <c:pt idx="12">
                  <c:v>Node24 Laptop</c:v>
                </c:pt>
                <c:pt idx="13">
                  <c:v>Dist. Tracing</c:v>
                </c:pt>
                <c:pt idx="14">
                  <c:v>Prop. Headers</c:v>
                </c:pt>
                <c:pt idx="15">
                  <c:v>Valid. Headers</c:v>
                </c:pt>
                <c:pt idx="16">
                  <c:v>Dockerf. Imagen</c:v>
                </c:pt>
                <c:pt idx="17">
                  <c:v>StatusCode Resp</c:v>
                </c:pt>
                <c:pt idx="18">
                  <c:v>Std. Logging</c:v>
                </c:pt>
                <c:pt idx="19">
                  <c:v>KeyVault → Env</c:v>
                </c:pt>
                <c:pt idx="20">
                  <c:v>Doc API .md</c:v>
                </c:pt>
                <c:pt idx="21">
                  <c:v>Imagen al ACR</c:v>
                </c:pt>
                <c:pt idx="22">
                  <c:v>Deploy DEV</c:v>
                </c:pt>
                <c:pt idx="23">
                  <c:v>Valid. DEV</c:v>
                </c:pt>
                <c:pt idx="24">
                  <c:v>Deploy UAT</c:v>
                </c:pt>
              </c:strCache>
            </c:strRef>
          </c:cat>
          <c:val>
            <c:numRef>
              <c:f>Resumen!$C$49:$C$73</c:f>
              <c:numCache>
                <c:formatCode>0%</c:formatCode>
                <c:ptCount val="2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0.97142857142857142</c:v>
                </c:pt>
                <c:pt idx="21">
                  <c:v>0.94285714285714284</c:v>
                </c:pt>
                <c:pt idx="22">
                  <c:v>0.8571428571428571</c:v>
                </c:pt>
                <c:pt idx="23">
                  <c:v>0.45714285714285713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81-4744-8DE2-473CF645F5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162644"/>
        <c:axId val="69859677"/>
      </c:barChart>
      <c:catAx>
        <c:axId val="431626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9859677"/>
        <c:crosses val="autoZero"/>
        <c:auto val="1"/>
        <c:lblAlgn val="ctr"/>
        <c:lblOffset val="100"/>
        <c:noMultiLvlLbl val="0"/>
      </c:catAx>
      <c:valAx>
        <c:axId val="69859677"/>
        <c:scaling>
          <c:orientation val="minMax"/>
          <c:max val="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31626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46</xdr:row>
      <xdr:rowOff>38100</xdr:rowOff>
    </xdr:from>
    <xdr:to>
      <xdr:col>12</xdr:col>
      <xdr:colOff>486405</xdr:colOff>
      <xdr:row>78</xdr:row>
      <xdr:rowOff>101760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perd3zu1amscapgobcomm001.azure-api.net/API/BASES/DEV/V1" TargetMode="External"/><Relationship Id="rId3" Type="http://schemas.openxmlformats.org/officeDocument/2006/relationships/hyperlink" Target="https://perd3zu1amscapgobcomm001.azure-api.net/API/BROKER-INSURANCE/DEV/V1" TargetMode="External"/><Relationship Id="rId7" Type="http://schemas.openxmlformats.org/officeDocument/2006/relationships/hyperlink" Target="https://perd3zu1amscapgobcomm001.azure-api.net/API/MS-PLAFT/DEV/V1" TargetMode="External"/><Relationship Id="rId12" Type="http://schemas.openxmlformats.org/officeDocument/2006/relationships/hyperlink" Target="https://perd3zu1amscapgobcomm001.azure-api.net/API/MSAPIMIDBUSINESS/DEV/V1" TargetMode="External"/><Relationship Id="rId2" Type="http://schemas.openxmlformats.org/officeDocument/2006/relationships/hyperlink" Target="https://perd3zu1amscapgobcomm001.azure-api.net/API/AUTH-BUSINESS/DEV/V1" TargetMode="External"/><Relationship Id="rId1" Type="http://schemas.openxmlformats.org/officeDocument/2006/relationships/hyperlink" Target="https://perd3zu1amscapgobcomm001.azure-api.net/API/MSAPIMIDLOAN/DEV/V1" TargetMode="External"/><Relationship Id="rId6" Type="http://schemas.openxmlformats.org/officeDocument/2006/relationships/hyperlink" Target="https://perd3zu1amscapgobcomm001.azure-api.net/API/MESSENGER/DEV/V1" TargetMode="External"/><Relationship Id="rId11" Type="http://schemas.openxmlformats.org/officeDocument/2006/relationships/hyperlink" Target="https://perd3zu1amscapgobcomm001.azure-api.net/API/MSAPIMIDCUSTOMER/DEV/V1" TargetMode="External"/><Relationship Id="rId5" Type="http://schemas.openxmlformats.org/officeDocument/2006/relationships/hyperlink" Target="https://perd3zu1amscapgobcomm001.azure-api.net/API/MID-CORE-BANK/DEV/V1" TargetMode="External"/><Relationship Id="rId10" Type="http://schemas.openxmlformats.org/officeDocument/2006/relationships/hyperlink" Target="https://perd3zu1amscapgobcomm001.azure-api.net/API/MSMIDZYTRUST/DEV/V1" TargetMode="External"/><Relationship Id="rId4" Type="http://schemas.openxmlformats.org/officeDocument/2006/relationships/hyperlink" Target="https://perd3zu1amscapgobcomm001.azure-api.net/API/MID-BURO/DEV/V1" TargetMode="External"/><Relationship Id="rId9" Type="http://schemas.openxmlformats.org/officeDocument/2006/relationships/hyperlink" Target="https://perd3zu1amscapgobcomm001.azure-api.net/API/MS-MID-IDENTY/DEV/V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erd3zu1amscapgobcomm001.azure-api.net/API/MSAPIBUSINESS/DEV/V1" TargetMode="External"/><Relationship Id="rId13" Type="http://schemas.openxmlformats.org/officeDocument/2006/relationships/hyperlink" Target="https://perd3zu1amscapgobcomm001.azure-api.net/API/WORKFLOW/DEV/V1" TargetMode="External"/><Relationship Id="rId3" Type="http://schemas.openxmlformats.org/officeDocument/2006/relationships/hyperlink" Target="https://perd3zu1amscapgobcomm001.azure-api.net/API/SEND-APP/DEV/V1" TargetMode="External"/><Relationship Id="rId7" Type="http://schemas.openxmlformats.org/officeDocument/2006/relationships/hyperlink" Target="https://perd3zu1amscapgobcomm001.azure-api.net/API/MSAPILOAN/DEV/V1" TargetMode="External"/><Relationship Id="rId12" Type="http://schemas.openxmlformats.org/officeDocument/2006/relationships/hyperlink" Target="https://perd3zu1amscapgobcomm001.azure-api.net/API/MSAPICUSTOMER/DEV/V1" TargetMode="External"/><Relationship Id="rId2" Type="http://schemas.openxmlformats.org/officeDocument/2006/relationships/hyperlink" Target="https://perd3zu1amscapgobcomm001.azure-api.net/API/DISBURSEMENT/DEV/V1" TargetMode="External"/><Relationship Id="rId1" Type="http://schemas.openxmlformats.org/officeDocument/2006/relationships/hyperlink" Target="https://perd3zu1amscapgobcomm001.azure-api.net/API/DIGITAL-FOLDER/DEV/V1" TargetMode="External"/><Relationship Id="rId6" Type="http://schemas.openxmlformats.org/officeDocument/2006/relationships/hyperlink" Target="https://perd3zu1amscapgobcomm002.azure-api.net/API/SISTEMATICA/DEV/V1" TargetMode="External"/><Relationship Id="rId11" Type="http://schemas.openxmlformats.org/officeDocument/2006/relationships/hyperlink" Target="https://perd3zu1amscapgobcomm001.azure-api.net/API/CUREMA/DEV/V1" TargetMode="External"/><Relationship Id="rId5" Type="http://schemas.openxmlformats.org/officeDocument/2006/relationships/hyperlink" Target="https://perd3zu1amscapgobcomm001.azure-api.net/API/AUTHORIZERS/DEV/V1" TargetMode="External"/><Relationship Id="rId10" Type="http://schemas.openxmlformats.org/officeDocument/2006/relationships/hyperlink" Target="https://perd3zu1amscapgobcomm001.azure-api.net/API/OPEX-TRBA-CRMA/DEV/V1" TargetMode="External"/><Relationship Id="rId4" Type="http://schemas.openxmlformats.org/officeDocument/2006/relationships/hyperlink" Target="https://perd3zu1amscapgobcomm001.azure-api.net/API/WEB-BACKEND/DEV/V1" TargetMode="External"/><Relationship Id="rId9" Type="http://schemas.openxmlformats.org/officeDocument/2006/relationships/hyperlink" Target="https://perd3zu1amscapgobcomm001.azure-api.net/API/DOCUMENT-GENERATOR/DEV/V1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perd3zu1amscapgobcomm001.azure-api.net/API/REPORT-WORKFLOW/DEV/V1" TargetMode="External"/><Relationship Id="rId7" Type="http://schemas.openxmlformats.org/officeDocument/2006/relationships/hyperlink" Target="https://perd3zu1amscapgobcomm001.azure-api.net/API/SENDONB/DEV/V1" TargetMode="External"/><Relationship Id="rId2" Type="http://schemas.openxmlformats.org/officeDocument/2006/relationships/hyperlink" Target="https://perd3zu1amscapgobcomm001.azure-api.net/API/FN-VARIABLES-PROVIDER/DEV/V1" TargetMode="External"/><Relationship Id="rId1" Type="http://schemas.openxmlformats.org/officeDocument/2006/relationships/hyperlink" Target="https://perd3zu1amscapgobcomm001.azure-api.net/API/BROKER-FUNCTIONS/DEV/V1" TargetMode="External"/><Relationship Id="rId6" Type="http://schemas.openxmlformats.org/officeDocument/2006/relationships/hyperlink" Target="https://perd3zu1amscapgobcomm001.azure-api.net/API/RULES-EVALUATION/DEV/V1" TargetMode="External"/><Relationship Id="rId5" Type="http://schemas.openxmlformats.org/officeDocument/2006/relationships/hyperlink" Target="https://perd3zu1amscapgobcomm001.azure-api.net/API/FN-SYSTEM-AUTH-CORE-CODE/DEV/V1" TargetMode="External"/><Relationship Id="rId4" Type="http://schemas.openxmlformats.org/officeDocument/2006/relationships/hyperlink" Target="https://perd3zu1amscapgobcomm001.azure-api.net/API/MSTRACE/DEV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3A6B"/>
  </sheetPr>
  <dimension ref="B1:I73"/>
  <sheetViews>
    <sheetView topLeftCell="A32" zoomScaleNormal="100" workbookViewId="0">
      <selection activeCell="J40" sqref="J40"/>
    </sheetView>
  </sheetViews>
  <sheetFormatPr defaultColWidth="8.7109375" defaultRowHeight="15"/>
  <cols>
    <col min="1" max="1" width="3" customWidth="1"/>
    <col min="2" max="2" width="30" customWidth="1"/>
    <col min="3" max="3" width="16" customWidth="1"/>
    <col min="4" max="4" width="13" customWidth="1"/>
    <col min="5" max="5" width="11.85546875" customWidth="1"/>
    <col min="6" max="7" width="13" customWidth="1"/>
    <col min="8" max="9" width="14" customWidth="1"/>
    <col min="10" max="10" width="3" customWidth="1"/>
  </cols>
  <sheetData>
    <row r="1" spans="2:9" ht="18" customHeight="1"/>
    <row r="2" spans="2:9" ht="43.5" customHeight="1">
      <c r="B2" s="100" t="s">
        <v>0</v>
      </c>
      <c r="C2" s="100"/>
      <c r="D2" s="100"/>
      <c r="E2" s="100"/>
      <c r="F2" s="100"/>
      <c r="G2" s="100"/>
      <c r="H2" s="100"/>
      <c r="I2" s="100"/>
    </row>
    <row r="3" spans="2:9" ht="19.5" customHeight="1">
      <c r="B3" s="101" t="s">
        <v>1</v>
      </c>
      <c r="C3" s="101"/>
      <c r="D3" s="101"/>
      <c r="E3" s="101"/>
      <c r="F3" s="101"/>
      <c r="G3" s="101"/>
      <c r="H3" s="101"/>
      <c r="I3" s="101"/>
    </row>
    <row r="4" spans="2:9" ht="7.5" customHeight="1"/>
    <row r="5" spans="2:9" ht="7.5" customHeight="1"/>
    <row r="6" spans="2:9" ht="19.5" customHeight="1">
      <c r="B6" s="1" t="s">
        <v>2</v>
      </c>
      <c r="C6" s="2" t="s">
        <v>3</v>
      </c>
      <c r="D6" s="3" t="s">
        <v>4</v>
      </c>
      <c r="E6" s="4" t="s">
        <v>5</v>
      </c>
      <c r="F6" s="5" t="s">
        <v>6</v>
      </c>
      <c r="G6" s="6" t="s">
        <v>7</v>
      </c>
      <c r="H6" s="7" t="s">
        <v>8</v>
      </c>
      <c r="I6" s="8" t="s">
        <v>9</v>
      </c>
    </row>
    <row r="7" spans="2:9" ht="33.75" customHeight="1">
      <c r="B7" s="9">
        <f>C16</f>
        <v>35</v>
      </c>
      <c r="C7" s="10">
        <f>D16</f>
        <v>875</v>
      </c>
      <c r="D7" s="11">
        <f>E16</f>
        <v>813</v>
      </c>
      <c r="E7" s="80">
        <f>E16/D16</f>
        <v>0.92914285714285716</v>
      </c>
      <c r="F7" s="12">
        <f>C16-F43</f>
        <v>5</v>
      </c>
      <c r="G7" s="79" t="s">
        <v>10</v>
      </c>
      <c r="H7" s="13" t="s">
        <v>11</v>
      </c>
      <c r="I7" s="14">
        <f>C16-F32</f>
        <v>0</v>
      </c>
    </row>
    <row r="8" spans="2:9" ht="18" customHeight="1">
      <c r="B8" s="15" t="s">
        <v>12</v>
      </c>
      <c r="C8" s="16" t="s">
        <v>13</v>
      </c>
      <c r="D8" s="17" t="s">
        <v>14</v>
      </c>
      <c r="E8" s="18" t="s">
        <v>15</v>
      </c>
      <c r="F8" s="19" t="s">
        <v>16</v>
      </c>
      <c r="G8" s="20" t="s">
        <v>17</v>
      </c>
      <c r="H8" s="21" t="s">
        <v>18</v>
      </c>
      <c r="I8" s="22" t="s">
        <v>19</v>
      </c>
    </row>
    <row r="9" spans="2:9" ht="6" customHeight="1">
      <c r="B9" s="23"/>
      <c r="C9" s="23"/>
      <c r="D9" s="23"/>
      <c r="E9" s="23"/>
      <c r="F9" s="23"/>
      <c r="G9" s="23"/>
      <c r="H9" s="23"/>
      <c r="I9" s="23"/>
    </row>
    <row r="10" spans="2:9" ht="7.5" customHeight="1"/>
    <row r="11" spans="2:9" ht="21.75" customHeight="1">
      <c r="B11" s="102" t="s">
        <v>20</v>
      </c>
      <c r="C11" s="102"/>
      <c r="D11" s="102"/>
      <c r="E11" s="102"/>
      <c r="F11" s="102"/>
      <c r="G11" s="102"/>
      <c r="H11" s="102"/>
      <c r="I11" s="102"/>
    </row>
    <row r="12" spans="2:9" ht="19.5" customHeight="1">
      <c r="B12" s="24" t="s">
        <v>21</v>
      </c>
      <c r="C12" s="24" t="s">
        <v>22</v>
      </c>
      <c r="D12" s="24" t="s">
        <v>23</v>
      </c>
      <c r="E12" s="24" t="s">
        <v>24</v>
      </c>
      <c r="F12" s="24" t="s">
        <v>25</v>
      </c>
      <c r="G12" s="24" t="s">
        <v>26</v>
      </c>
      <c r="H12" s="24" t="s">
        <v>27</v>
      </c>
      <c r="I12" s="24" t="s">
        <v>28</v>
      </c>
    </row>
    <row r="13" spans="2:9" ht="21.75" customHeight="1">
      <c r="B13" s="25" t="s">
        <v>29</v>
      </c>
      <c r="C13" s="26">
        <f>'Capa API'!A16</f>
        <v>12</v>
      </c>
      <c r="D13" s="26">
        <f>C13*COUNTIF(' Capa Integración'!H4:AF4, "*")</f>
        <v>300</v>
      </c>
      <c r="E13" s="31">
        <f>COUNTIF(' Capa Integración'!H5:AF16,"Completado")</f>
        <v>288</v>
      </c>
      <c r="F13" s="28">
        <f>D13-(E13+G13)</f>
        <v>0</v>
      </c>
      <c r="G13" s="29">
        <f>COUNTIF(' Capa Integración'!H5:AF16,"Pendiente")</f>
        <v>12</v>
      </c>
      <c r="H13" s="32">
        <f>E13/D13</f>
        <v>0.96</v>
      </c>
      <c r="I13" s="30" t="s">
        <v>30</v>
      </c>
    </row>
    <row r="14" spans="2:9" ht="21.75" customHeight="1">
      <c r="B14" s="25" t="s">
        <v>31</v>
      </c>
      <c r="C14" s="26">
        <f>'Capa API'!A20</f>
        <v>16</v>
      </c>
      <c r="D14" s="26">
        <f>C14*COUNTIF('Capa API'!H4:AF4, "*")</f>
        <v>400</v>
      </c>
      <c r="E14" s="31">
        <f>COUNTIF('Capa API'!H5:AF20,"Completado")</f>
        <v>366</v>
      </c>
      <c r="F14" s="28">
        <f>D14-(E14+G14)</f>
        <v>20</v>
      </c>
      <c r="G14" s="29">
        <f>COUNTIF('Capa API'!H5:AF20,"Pendiente")</f>
        <v>14</v>
      </c>
      <c r="H14" s="32">
        <f>E14/D14</f>
        <v>0.91500000000000004</v>
      </c>
      <c r="I14" s="30" t="s">
        <v>30</v>
      </c>
    </row>
    <row r="15" spans="2:9" ht="21.75" customHeight="1">
      <c r="B15" s="25" t="s">
        <v>32</v>
      </c>
      <c r="C15" s="26">
        <f>'Capa Orquestación'!A11</f>
        <v>7</v>
      </c>
      <c r="D15" s="26">
        <f>C15*COUNTIF('Capa Orquestación'!H4:AF4, "*")</f>
        <v>175</v>
      </c>
      <c r="E15" s="31">
        <f>COUNTIF('Capa Orquestación'!H5:AF11,"Completado")</f>
        <v>159</v>
      </c>
      <c r="F15" s="28">
        <f>D15-(E15+G15)</f>
        <v>3</v>
      </c>
      <c r="G15" s="29">
        <f>COUNTIF('Capa Orquestación'!H5:AF11,"Pendiente")</f>
        <v>13</v>
      </c>
      <c r="H15" s="32">
        <f>E15/D15</f>
        <v>0.90857142857142859</v>
      </c>
      <c r="I15" s="30" t="s">
        <v>30</v>
      </c>
    </row>
    <row r="16" spans="2:9" ht="21.75" customHeight="1">
      <c r="B16" s="33" t="s">
        <v>33</v>
      </c>
      <c r="C16" s="34">
        <f>SUM(C13:C15)</f>
        <v>35</v>
      </c>
      <c r="D16" s="34">
        <f>SUM(D13:D15)</f>
        <v>875</v>
      </c>
      <c r="E16" s="35">
        <f>SUM(E13:E15)</f>
        <v>813</v>
      </c>
      <c r="F16" s="36">
        <f>SUM(F13:F15)</f>
        <v>23</v>
      </c>
      <c r="G16" s="37">
        <f>SUM(G13:G15)</f>
        <v>39</v>
      </c>
      <c r="H16" s="32">
        <f>SUM(H13:H15)/3</f>
        <v>0.92785714285714282</v>
      </c>
      <c r="I16" s="30" t="s">
        <v>30</v>
      </c>
    </row>
    <row r="17" spans="2:9" ht="18" customHeight="1"/>
    <row r="18" spans="2:9" ht="7.5" customHeight="1"/>
    <row r="19" spans="2:9" ht="21.75" customHeight="1">
      <c r="B19" s="103" t="s">
        <v>34</v>
      </c>
      <c r="C19" s="103"/>
      <c r="D19" s="103"/>
      <c r="E19" s="103"/>
      <c r="F19" s="103"/>
      <c r="G19" s="103"/>
      <c r="H19" s="103"/>
      <c r="I19" s="103"/>
    </row>
    <row r="20" spans="2:9" ht="19.5" customHeight="1">
      <c r="B20" s="38" t="s">
        <v>35</v>
      </c>
      <c r="C20" s="38" t="s">
        <v>36</v>
      </c>
      <c r="D20" s="38" t="s">
        <v>37</v>
      </c>
      <c r="E20" s="38" t="s">
        <v>38</v>
      </c>
      <c r="F20" s="38" t="s">
        <v>39</v>
      </c>
      <c r="G20" s="38" t="s">
        <v>40</v>
      </c>
      <c r="H20" s="38" t="s">
        <v>41</v>
      </c>
    </row>
    <row r="21" spans="2:9" ht="21.75" customHeight="1">
      <c r="B21" s="39" t="s">
        <v>42</v>
      </c>
      <c r="C21" s="27">
        <f>COUNTIF(' Capa Integración'!H5:H16,"Completado")</f>
        <v>12</v>
      </c>
      <c r="D21" s="27">
        <f>COUNTIF('Capa API'!H5:H20,"Completado")</f>
        <v>16</v>
      </c>
      <c r="E21" s="27">
        <f>COUNTIF('Capa Orquestación'!H5:H11,"Completado")</f>
        <v>7</v>
      </c>
      <c r="F21" s="40">
        <f>SUM(C21:E21)</f>
        <v>35</v>
      </c>
      <c r="G21" s="78">
        <f>F21/C$16</f>
        <v>1</v>
      </c>
      <c r="H21" s="58" t="s">
        <v>43</v>
      </c>
    </row>
    <row r="22" spans="2:9" ht="21.75" customHeight="1">
      <c r="B22" s="41" t="s">
        <v>44</v>
      </c>
      <c r="C22" s="42">
        <f>COUNTIF(' Capa Integración'!I5:I16,"Completado")</f>
        <v>12</v>
      </c>
      <c r="D22" s="42">
        <f>COUNTIF('Capa API'!I5:I20,"Completado")</f>
        <v>16</v>
      </c>
      <c r="E22" s="42">
        <f>COUNTIF('Capa Orquestación'!I5:I11,"Completado")</f>
        <v>7</v>
      </c>
      <c r="F22" s="43">
        <f t="shared" ref="F22:F45" si="0">SUM(C22:E22)</f>
        <v>35</v>
      </c>
      <c r="G22" s="78">
        <f t="shared" ref="G22:G45" si="1">F22/C$16</f>
        <v>1</v>
      </c>
      <c r="H22" s="58" t="s">
        <v>43</v>
      </c>
    </row>
    <row r="23" spans="2:9" ht="21.75" customHeight="1">
      <c r="B23" s="39" t="s">
        <v>45</v>
      </c>
      <c r="C23" s="27">
        <f>COUNTIF(' Capa Integración'!J5:J16,"Completado")</f>
        <v>12</v>
      </c>
      <c r="D23" s="27">
        <f>COUNTIF('Capa API'!J5:J20,"Completado")</f>
        <v>16</v>
      </c>
      <c r="E23" s="27">
        <f>COUNTIF('Capa Orquestación'!J5:J11,"Completado")</f>
        <v>7</v>
      </c>
      <c r="F23" s="40">
        <f t="shared" si="0"/>
        <v>35</v>
      </c>
      <c r="G23" s="78">
        <f t="shared" si="1"/>
        <v>1</v>
      </c>
      <c r="H23" s="58" t="s">
        <v>43</v>
      </c>
    </row>
    <row r="24" spans="2:9" ht="21.75" customHeight="1">
      <c r="B24" s="41" t="s">
        <v>46</v>
      </c>
      <c r="C24" s="42">
        <f>COUNTIF(' Capa Integración'!K5:K16,"Completado")</f>
        <v>12</v>
      </c>
      <c r="D24" s="42">
        <f>COUNTIF('Capa API'!K5:K20,"Completado")</f>
        <v>16</v>
      </c>
      <c r="E24" s="42">
        <f>COUNTIF('Capa Orquestación'!K5:K11,"Completado")</f>
        <v>7</v>
      </c>
      <c r="F24" s="43">
        <f t="shared" si="0"/>
        <v>35</v>
      </c>
      <c r="G24" s="78">
        <f t="shared" si="1"/>
        <v>1</v>
      </c>
      <c r="H24" s="58" t="s">
        <v>43</v>
      </c>
    </row>
    <row r="25" spans="2:9" ht="21.75" customHeight="1">
      <c r="B25" s="39" t="s">
        <v>47</v>
      </c>
      <c r="C25" s="27">
        <f>COUNTIF(' Capa Integración'!L5:L16,"Completado")</f>
        <v>12</v>
      </c>
      <c r="D25" s="27">
        <f>COUNTIF('Capa API'!L5:L20,"Completado")</f>
        <v>16</v>
      </c>
      <c r="E25" s="27">
        <f>COUNTIF('Capa Orquestación'!L5:L11,"Completado")</f>
        <v>7</v>
      </c>
      <c r="F25" s="40">
        <f t="shared" si="0"/>
        <v>35</v>
      </c>
      <c r="G25" s="78">
        <f t="shared" si="1"/>
        <v>1</v>
      </c>
      <c r="H25" s="58" t="s">
        <v>43</v>
      </c>
    </row>
    <row r="26" spans="2:9" ht="21.75" customHeight="1">
      <c r="B26" s="41" t="s">
        <v>48</v>
      </c>
      <c r="C26" s="42">
        <f>COUNTIF(' Capa Integración'!M5:M16,"Completado")</f>
        <v>12</v>
      </c>
      <c r="D26" s="42">
        <f>COUNTIF('Capa API'!M5:M20,"Completado")</f>
        <v>16</v>
      </c>
      <c r="E26" s="42">
        <f>COUNTIF('Capa Orquestación'!M5:M11,"Completado")</f>
        <v>7</v>
      </c>
      <c r="F26" s="43">
        <f t="shared" si="0"/>
        <v>35</v>
      </c>
      <c r="G26" s="78">
        <f t="shared" si="1"/>
        <v>1</v>
      </c>
      <c r="H26" s="58" t="s">
        <v>43</v>
      </c>
    </row>
    <row r="27" spans="2:9" ht="21.75" customHeight="1">
      <c r="B27" s="39" t="s">
        <v>49</v>
      </c>
      <c r="C27" s="27">
        <f>COUNTIF(' Capa Integración'!N5:N16,"Completado")</f>
        <v>12</v>
      </c>
      <c r="D27" s="27">
        <f>COUNTIF('Capa API'!N5:N20,"Completado")</f>
        <v>16</v>
      </c>
      <c r="E27" s="27">
        <f>COUNTIF('Capa Orquestación'!N5:N11,"Completado")</f>
        <v>7</v>
      </c>
      <c r="F27" s="40">
        <f t="shared" si="0"/>
        <v>35</v>
      </c>
      <c r="G27" s="78">
        <f t="shared" si="1"/>
        <v>1</v>
      </c>
      <c r="H27" s="58" t="s">
        <v>43</v>
      </c>
    </row>
    <row r="28" spans="2:9" ht="21.75" customHeight="1">
      <c r="B28" s="41" t="s">
        <v>50</v>
      </c>
      <c r="C28" s="42">
        <f>COUNTIF(' Capa Integración'!O5:O16,"Completado")</f>
        <v>12</v>
      </c>
      <c r="D28" s="42">
        <f>COUNTIF('Capa API'!O5:O20,"Completado")</f>
        <v>16</v>
      </c>
      <c r="E28" s="42">
        <f>COUNTIF('Capa Orquestación'!O5:O11,"Completado")</f>
        <v>7</v>
      </c>
      <c r="F28" s="43">
        <f t="shared" si="0"/>
        <v>35</v>
      </c>
      <c r="G28" s="78">
        <f t="shared" si="1"/>
        <v>1</v>
      </c>
      <c r="H28" s="58" t="s">
        <v>43</v>
      </c>
    </row>
    <row r="29" spans="2:9" ht="21.75" customHeight="1">
      <c r="B29" s="39" t="s">
        <v>51</v>
      </c>
      <c r="C29" s="27">
        <f>COUNTIF(' Capa Integración'!P5:P16,"Completado")</f>
        <v>12</v>
      </c>
      <c r="D29" s="27">
        <f>COUNTIF('Capa API'!P5:P20,"Completado")</f>
        <v>16</v>
      </c>
      <c r="E29" s="27">
        <f>COUNTIF('Capa Orquestación'!P5:P11,"Completado")</f>
        <v>7</v>
      </c>
      <c r="F29" s="40">
        <f t="shared" si="0"/>
        <v>35</v>
      </c>
      <c r="G29" s="78">
        <f t="shared" si="1"/>
        <v>1</v>
      </c>
      <c r="H29" s="58" t="s">
        <v>43</v>
      </c>
    </row>
    <row r="30" spans="2:9" ht="21.75" customHeight="1">
      <c r="B30" s="41" t="s">
        <v>52</v>
      </c>
      <c r="C30" s="42">
        <f>COUNTIF(' Capa Integración'!Q5:Q16,"Completado")</f>
        <v>12</v>
      </c>
      <c r="D30" s="42">
        <f>COUNTIF('Capa API'!Q5:Q20,"Completado")</f>
        <v>16</v>
      </c>
      <c r="E30" s="42">
        <f>COUNTIF('Capa Orquestación'!Q5:Q11,"Completado")</f>
        <v>7</v>
      </c>
      <c r="F30" s="43">
        <f t="shared" si="0"/>
        <v>35</v>
      </c>
      <c r="G30" s="78">
        <f t="shared" si="1"/>
        <v>1</v>
      </c>
      <c r="H30" s="58" t="s">
        <v>43</v>
      </c>
    </row>
    <row r="31" spans="2:9" ht="21.75" customHeight="1">
      <c r="B31" s="39" t="s">
        <v>53</v>
      </c>
      <c r="C31" s="27">
        <f>COUNTIF(' Capa Integración'!R5:R16,"Completado")</f>
        <v>12</v>
      </c>
      <c r="D31" s="27">
        <f>COUNTIF('Capa API'!R5:R20,"Completado")</f>
        <v>16</v>
      </c>
      <c r="E31" s="27">
        <f>COUNTIF('Capa Orquestación'!R5:R11,"Completado")</f>
        <v>7</v>
      </c>
      <c r="F31" s="40">
        <f t="shared" si="0"/>
        <v>35</v>
      </c>
      <c r="G31" s="78">
        <f t="shared" si="1"/>
        <v>1</v>
      </c>
      <c r="H31" s="58" t="s">
        <v>43</v>
      </c>
    </row>
    <row r="32" spans="2:9" ht="21.75" customHeight="1">
      <c r="B32" s="41" t="s">
        <v>54</v>
      </c>
      <c r="C32" s="42">
        <f>COUNTIF(' Capa Integración'!S5:S16,"Completado")</f>
        <v>12</v>
      </c>
      <c r="D32" s="42">
        <f>COUNTIF('Capa API'!S5:S20,"Completado")</f>
        <v>16</v>
      </c>
      <c r="E32" s="42">
        <f>COUNTIF('Capa Orquestación'!S5:S11,"Completado")</f>
        <v>7</v>
      </c>
      <c r="F32" s="43">
        <f t="shared" si="0"/>
        <v>35</v>
      </c>
      <c r="G32" s="78">
        <f t="shared" si="1"/>
        <v>1</v>
      </c>
      <c r="H32" s="58" t="s">
        <v>43</v>
      </c>
    </row>
    <row r="33" spans="2:8" ht="21.75" customHeight="1">
      <c r="B33" s="39" t="s">
        <v>55</v>
      </c>
      <c r="C33" s="27">
        <f>COUNTIF(' Capa Integración'!T5:T16,"Completado")</f>
        <v>12</v>
      </c>
      <c r="D33" s="27">
        <f>COUNTIF('Capa API'!T5:T20,"Completado")</f>
        <v>16</v>
      </c>
      <c r="E33" s="27">
        <f>COUNTIF('Capa Orquestación'!T5:T11,"Completado")</f>
        <v>7</v>
      </c>
      <c r="F33" s="40">
        <f t="shared" si="0"/>
        <v>35</v>
      </c>
      <c r="G33" s="78">
        <f t="shared" si="1"/>
        <v>1</v>
      </c>
      <c r="H33" s="58" t="s">
        <v>43</v>
      </c>
    </row>
    <row r="34" spans="2:8" ht="21.75" customHeight="1">
      <c r="B34" s="45" t="s">
        <v>56</v>
      </c>
      <c r="C34" s="42">
        <f>COUNTIF(' Capa Integración'!U5:U16,"Completado")</f>
        <v>12</v>
      </c>
      <c r="D34" s="42">
        <f>COUNTIF('Capa API'!U5:U20,"Completado")</f>
        <v>16</v>
      </c>
      <c r="E34" s="42">
        <f>COUNTIF('Capa Orquestación'!U5:U11,"Completado")</f>
        <v>7</v>
      </c>
      <c r="F34" s="43">
        <f t="shared" si="0"/>
        <v>35</v>
      </c>
      <c r="G34" s="78">
        <f t="shared" si="1"/>
        <v>1</v>
      </c>
      <c r="H34" s="58" t="s">
        <v>43</v>
      </c>
    </row>
    <row r="35" spans="2:8" ht="21.75" customHeight="1">
      <c r="B35" s="39" t="s">
        <v>57</v>
      </c>
      <c r="C35" s="27">
        <f>COUNTIF(' Capa Integración'!V5:V16,"Completado")</f>
        <v>12</v>
      </c>
      <c r="D35" s="27">
        <f>COUNTIF('Capa API'!V5:V20,"Completado")</f>
        <v>16</v>
      </c>
      <c r="E35" s="27">
        <f>COUNTIF('Capa Orquestación'!V5:V11,"Completado")</f>
        <v>7</v>
      </c>
      <c r="F35" s="40">
        <f t="shared" si="0"/>
        <v>35</v>
      </c>
      <c r="G35" s="78">
        <f t="shared" si="1"/>
        <v>1</v>
      </c>
      <c r="H35" s="58" t="s">
        <v>43</v>
      </c>
    </row>
    <row r="36" spans="2:8" ht="21.75" customHeight="1">
      <c r="B36" s="41" t="s">
        <v>58</v>
      </c>
      <c r="C36" s="42">
        <f>COUNTIF(' Capa Integración'!W5:W16,"Completado")</f>
        <v>12</v>
      </c>
      <c r="D36" s="42">
        <f>COUNTIF('Capa API'!W5:W20,"Completado")</f>
        <v>16</v>
      </c>
      <c r="E36" s="42">
        <f>COUNTIF('Capa Orquestación'!W5:W11,"Completado")</f>
        <v>7</v>
      </c>
      <c r="F36" s="43">
        <f t="shared" si="0"/>
        <v>35</v>
      </c>
      <c r="G36" s="78">
        <f t="shared" si="1"/>
        <v>1</v>
      </c>
      <c r="H36" s="58" t="s">
        <v>43</v>
      </c>
    </row>
    <row r="37" spans="2:8" ht="21.75" customHeight="1">
      <c r="B37" s="39" t="s">
        <v>59</v>
      </c>
      <c r="C37" s="27">
        <f>COUNTIF(' Capa Integración'!X5:X16,"Completado")</f>
        <v>12</v>
      </c>
      <c r="D37" s="27">
        <f>COUNTIF('Capa API'!X5:X20,"Completado")</f>
        <v>16</v>
      </c>
      <c r="E37" s="27">
        <f>COUNTIF('Capa Orquestación'!X5:X11,"Completado")</f>
        <v>7</v>
      </c>
      <c r="F37" s="40">
        <f t="shared" si="0"/>
        <v>35</v>
      </c>
      <c r="G37" s="78">
        <f t="shared" si="1"/>
        <v>1</v>
      </c>
      <c r="H37" s="58" t="s">
        <v>43</v>
      </c>
    </row>
    <row r="38" spans="2:8" ht="21.75" customHeight="1">
      <c r="B38" s="41" t="s">
        <v>60</v>
      </c>
      <c r="C38" s="42">
        <f>COUNTIF(' Capa Integración'!Y5:Y16,"Completado")</f>
        <v>12</v>
      </c>
      <c r="D38" s="42">
        <f>COUNTIF('Capa API'!Y5:Y20,"Completado")</f>
        <v>16</v>
      </c>
      <c r="E38" s="42">
        <f>COUNTIF('Capa Orquestación'!Y5:Y11,"Completado")</f>
        <v>7</v>
      </c>
      <c r="F38" s="43">
        <f t="shared" si="0"/>
        <v>35</v>
      </c>
      <c r="G38" s="78">
        <f t="shared" si="1"/>
        <v>1</v>
      </c>
      <c r="H38" s="58" t="s">
        <v>43</v>
      </c>
    </row>
    <row r="39" spans="2:8" ht="21.75" customHeight="1">
      <c r="B39" s="39" t="s">
        <v>61</v>
      </c>
      <c r="C39" s="27">
        <f>COUNTIF(' Capa Integración'!Z5:Z16,"Completado")</f>
        <v>12</v>
      </c>
      <c r="D39" s="27">
        <f>COUNTIF('Capa API'!Z5:Z20,"Completado")</f>
        <v>16</v>
      </c>
      <c r="E39" s="27">
        <f>COUNTIF('Capa Orquestación'!Z5:Z11,"Completado")</f>
        <v>7</v>
      </c>
      <c r="F39" s="40">
        <f t="shared" si="0"/>
        <v>35</v>
      </c>
      <c r="G39" s="78">
        <f t="shared" si="1"/>
        <v>1</v>
      </c>
      <c r="H39" s="58" t="s">
        <v>43</v>
      </c>
    </row>
    <row r="40" spans="2:8" ht="21.75" customHeight="1">
      <c r="B40" s="41" t="str">
        <f>' Capa Integración'!AA4</f>
        <v>Capt. Deployment</v>
      </c>
      <c r="C40" s="42">
        <f>COUNTIF(' Capa Integración'!AA5:AA16,"Completado")</f>
        <v>12</v>
      </c>
      <c r="D40" s="42">
        <f>COUNTIF('Capa API'!AA5:AA20,"Completado")</f>
        <v>16</v>
      </c>
      <c r="E40" s="42">
        <f>COUNTIF('Capa Orquestación'!AA5:AA11,"Completado")</f>
        <v>7</v>
      </c>
      <c r="F40" s="43">
        <f t="shared" si="0"/>
        <v>35</v>
      </c>
      <c r="G40" s="78">
        <f t="shared" si="1"/>
        <v>1</v>
      </c>
      <c r="H40" s="58" t="s">
        <v>43</v>
      </c>
    </row>
    <row r="41" spans="2:8" ht="21.75" customHeight="1">
      <c r="B41" s="39" t="str">
        <f>' Capa Integración'!AB4</f>
        <v>Doc API
.md</v>
      </c>
      <c r="C41" s="27">
        <f>COUNTIF(' Capa Integración'!AB5:AB16,"Completado")</f>
        <v>12</v>
      </c>
      <c r="D41" s="27">
        <f>COUNTIF('Capa API'!AB5:AB20,"Completado")</f>
        <v>15</v>
      </c>
      <c r="E41" s="27">
        <f>COUNTIF('Capa Orquestación'!AB5:AB11,"Completado")</f>
        <v>7</v>
      </c>
      <c r="F41" s="40">
        <f t="shared" si="0"/>
        <v>34</v>
      </c>
      <c r="G41" s="78">
        <f t="shared" ref="G41" si="2">F41/C$16</f>
        <v>0.97142857142857142</v>
      </c>
      <c r="H41" s="58" t="s">
        <v>43</v>
      </c>
    </row>
    <row r="42" spans="2:8" ht="21.75" customHeight="1">
      <c r="B42" s="41" t="str">
        <f>' Capa Integración'!AC4</f>
        <v>Carga imagen al ACR</v>
      </c>
      <c r="C42" s="42">
        <f>COUNTIF(' Capa Integración'!AC5:AC16,"Completado")</f>
        <v>12</v>
      </c>
      <c r="D42" s="42">
        <f>COUNTIF('Capa API'!AC5:AC20,"Completado")</f>
        <v>14</v>
      </c>
      <c r="E42" s="42">
        <f>COUNTIF('Capa Orquestación'!AC5:AC11,"Completado")</f>
        <v>7</v>
      </c>
      <c r="F42" s="43">
        <f t="shared" si="0"/>
        <v>33</v>
      </c>
      <c r="G42" s="78">
        <f t="shared" si="1"/>
        <v>0.94285714285714284</v>
      </c>
      <c r="H42" s="58" t="s">
        <v>43</v>
      </c>
    </row>
    <row r="43" spans="2:8" ht="21.75" customHeight="1">
      <c r="B43" s="39" t="str">
        <f>' Capa Integración'!AD4</f>
        <v>Deploy
DEV</v>
      </c>
      <c r="C43" s="27">
        <f>COUNTIF(' Capa Integración'!AD5:AD16,"Completado")</f>
        <v>12</v>
      </c>
      <c r="D43" s="27">
        <f>COUNTIF('Capa API'!AD5:AD20,"Completado")</f>
        <v>13</v>
      </c>
      <c r="E43" s="27">
        <f>COUNTIF('Capa Orquestación'!AD5:AD11,"Completado")</f>
        <v>5</v>
      </c>
      <c r="F43" s="40">
        <f t="shared" si="0"/>
        <v>30</v>
      </c>
      <c r="G43" s="76">
        <f t="shared" si="1"/>
        <v>0.8571428571428571</v>
      </c>
      <c r="H43" s="30" t="s">
        <v>25</v>
      </c>
    </row>
    <row r="44" spans="2:8" ht="21.75" customHeight="1">
      <c r="B44" s="41" t="str">
        <f>' Capa Integración'!AE4</f>
        <v>Valid. Servicio
DEV</v>
      </c>
      <c r="C44" s="42">
        <f>COUNTIF(' Capa Integración'!AE5:AE16,"Completado")</f>
        <v>12</v>
      </c>
      <c r="D44" s="42">
        <f>COUNTIF('Capa API'!AE5:AE20,"Completado")</f>
        <v>4</v>
      </c>
      <c r="E44" s="42">
        <f>COUNTIF('Capa Orquestación'!AE5:AE11,"Completado")</f>
        <v>0</v>
      </c>
      <c r="F44" s="43">
        <f t="shared" si="0"/>
        <v>16</v>
      </c>
      <c r="G44" s="76">
        <f t="shared" ref="G44" si="3">F44/C$16</f>
        <v>0.45714285714285713</v>
      </c>
      <c r="H44" s="30" t="s">
        <v>25</v>
      </c>
    </row>
    <row r="45" spans="2:8" ht="21.75" customHeight="1">
      <c r="B45" s="39" t="str">
        <f>' Capa Integración'!AF4</f>
        <v>Deploy
UAT - Pre  PRD</v>
      </c>
      <c r="C45" s="27">
        <f>COUNTIF(' Capa Integración'!AF5:AF16,"Completado")</f>
        <v>0</v>
      </c>
      <c r="D45" s="27">
        <f>COUNTIF('Capa API'!AF5:AF20,"Completado")</f>
        <v>0</v>
      </c>
      <c r="E45" s="27">
        <f>COUNTIF('Capa Orquestación'!AF5:AF11,"Completado")</f>
        <v>0</v>
      </c>
      <c r="F45" s="40">
        <f t="shared" si="0"/>
        <v>0</v>
      </c>
      <c r="G45" s="77">
        <f t="shared" si="1"/>
        <v>0</v>
      </c>
      <c r="H45" s="44" t="s">
        <v>30</v>
      </c>
    </row>
    <row r="46" spans="2:8" ht="18" customHeight="1"/>
    <row r="47" spans="2:8" ht="18" customHeight="1"/>
    <row r="48" spans="2:8" ht="18" customHeight="1">
      <c r="B48" s="75" t="s">
        <v>35</v>
      </c>
      <c r="C48" s="75" t="s">
        <v>62</v>
      </c>
    </row>
    <row r="49" spans="2:3" ht="13.5" customHeight="1">
      <c r="B49" s="73" t="s">
        <v>63</v>
      </c>
      <c r="C49" s="74">
        <f>G21</f>
        <v>1</v>
      </c>
    </row>
    <row r="50" spans="2:3" ht="13.5" customHeight="1">
      <c r="B50" s="73" t="s">
        <v>64</v>
      </c>
      <c r="C50" s="74">
        <f>G22</f>
        <v>1</v>
      </c>
    </row>
    <row r="51" spans="2:3" ht="13.5" customHeight="1">
      <c r="B51" s="73" t="s">
        <v>65</v>
      </c>
      <c r="C51" s="74">
        <f>G23</f>
        <v>1</v>
      </c>
    </row>
    <row r="52" spans="2:3" ht="13.5" customHeight="1">
      <c r="B52" s="73" t="s">
        <v>66</v>
      </c>
      <c r="C52" s="74">
        <f>G24</f>
        <v>1</v>
      </c>
    </row>
    <row r="53" spans="2:3" ht="13.5" customHeight="1">
      <c r="B53" s="73" t="s">
        <v>67</v>
      </c>
      <c r="C53" s="74">
        <f>G25</f>
        <v>1</v>
      </c>
    </row>
    <row r="54" spans="2:3" ht="13.5" customHeight="1">
      <c r="B54" s="73" t="s">
        <v>68</v>
      </c>
      <c r="C54" s="74">
        <f>G26</f>
        <v>1</v>
      </c>
    </row>
    <row r="55" spans="2:3" ht="13.5" customHeight="1">
      <c r="B55" s="73" t="s">
        <v>69</v>
      </c>
      <c r="C55" s="74">
        <f>G27</f>
        <v>1</v>
      </c>
    </row>
    <row r="56" spans="2:3" ht="13.5" customHeight="1">
      <c r="B56" s="73" t="s">
        <v>70</v>
      </c>
      <c r="C56" s="74">
        <f>G28</f>
        <v>1</v>
      </c>
    </row>
    <row r="57" spans="2:3" ht="13.5" customHeight="1">
      <c r="B57" s="73" t="s">
        <v>71</v>
      </c>
      <c r="C57" s="74">
        <f>G29</f>
        <v>1</v>
      </c>
    </row>
    <row r="58" spans="2:3" ht="13.5" customHeight="1">
      <c r="B58" s="73" t="s">
        <v>72</v>
      </c>
      <c r="C58" s="74">
        <f>G30</f>
        <v>1</v>
      </c>
    </row>
    <row r="59" spans="2:3" ht="13.5" customHeight="1">
      <c r="B59" s="73" t="s">
        <v>73</v>
      </c>
      <c r="C59" s="74">
        <f>G31</f>
        <v>1</v>
      </c>
    </row>
    <row r="60" spans="2:3" ht="13.5" customHeight="1">
      <c r="B60" s="73" t="s">
        <v>74</v>
      </c>
      <c r="C60" s="74">
        <f>G32</f>
        <v>1</v>
      </c>
    </row>
    <row r="61" spans="2:3" ht="13.5" customHeight="1">
      <c r="B61" s="73" t="s">
        <v>75</v>
      </c>
      <c r="C61" s="74">
        <f>G33</f>
        <v>1</v>
      </c>
    </row>
    <row r="62" spans="2:3" ht="13.5" customHeight="1">
      <c r="B62" s="73" t="s">
        <v>76</v>
      </c>
      <c r="C62" s="74">
        <f>G34</f>
        <v>1</v>
      </c>
    </row>
    <row r="63" spans="2:3" ht="13.5" customHeight="1">
      <c r="B63" s="73" t="s">
        <v>77</v>
      </c>
      <c r="C63" s="74">
        <f>G35</f>
        <v>1</v>
      </c>
    </row>
    <row r="64" spans="2:3" ht="13.5" customHeight="1">
      <c r="B64" s="73" t="s">
        <v>78</v>
      </c>
      <c r="C64" s="74">
        <f>G36</f>
        <v>1</v>
      </c>
    </row>
    <row r="65" spans="2:3" ht="13.5" customHeight="1">
      <c r="B65" s="73" t="s">
        <v>79</v>
      </c>
      <c r="C65" s="74">
        <f>G37</f>
        <v>1</v>
      </c>
    </row>
    <row r="66" spans="2:3" ht="13.5" customHeight="1">
      <c r="B66" s="73" t="s">
        <v>80</v>
      </c>
      <c r="C66" s="74">
        <f>G38</f>
        <v>1</v>
      </c>
    </row>
    <row r="67" spans="2:3" ht="13.5" customHeight="1">
      <c r="B67" s="73" t="s">
        <v>81</v>
      </c>
      <c r="C67" s="74">
        <f>G39</f>
        <v>1</v>
      </c>
    </row>
    <row r="68" spans="2:3" ht="13.5" customHeight="1">
      <c r="B68" s="73" t="s">
        <v>82</v>
      </c>
      <c r="C68" s="74">
        <f>G40</f>
        <v>1</v>
      </c>
    </row>
    <row r="69" spans="2:3" ht="13.5" customHeight="1">
      <c r="B69" s="73" t="s">
        <v>83</v>
      </c>
      <c r="C69" s="74">
        <f>G41</f>
        <v>0.97142857142857142</v>
      </c>
    </row>
    <row r="70" spans="2:3" ht="13.5" customHeight="1">
      <c r="B70" s="73" t="s">
        <v>84</v>
      </c>
      <c r="C70" s="74">
        <f>G42</f>
        <v>0.94285714285714284</v>
      </c>
    </row>
    <row r="71" spans="2:3" ht="13.5" customHeight="1">
      <c r="B71" s="73" t="s">
        <v>28</v>
      </c>
      <c r="C71" s="74">
        <f>G43</f>
        <v>0.8571428571428571</v>
      </c>
    </row>
    <row r="72" spans="2:3" ht="13.5" customHeight="1">
      <c r="B72" s="73" t="s">
        <v>85</v>
      </c>
      <c r="C72" s="74">
        <f>G44</f>
        <v>0.45714285714285713</v>
      </c>
    </row>
    <row r="73" spans="2:3" ht="13.5" customHeight="1">
      <c r="B73" s="73" t="s">
        <v>86</v>
      </c>
      <c r="C73" s="74">
        <f>G45</f>
        <v>0</v>
      </c>
    </row>
  </sheetData>
  <mergeCells count="4">
    <mergeCell ref="B2:I2"/>
    <mergeCell ref="B3:I3"/>
    <mergeCell ref="B11:I11"/>
    <mergeCell ref="B19:I1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5B8B"/>
  </sheetPr>
  <dimension ref="A1:AI21"/>
  <sheetViews>
    <sheetView tabSelected="1" zoomScaleNormal="100" workbookViewId="0">
      <pane xSplit="5" ySplit="4" topLeftCell="W5" activePane="bottomRight" state="frozen"/>
      <selection pane="bottomRight" activeCell="C12" sqref="C12:C16"/>
      <selection pane="bottomLeft" activeCell="A5" sqref="A5"/>
      <selection pane="topRight" activeCell="F1" sqref="F1"/>
    </sheetView>
  </sheetViews>
  <sheetFormatPr defaultColWidth="8.7109375" defaultRowHeight="15"/>
  <cols>
    <col min="1" max="1" width="3.28515625" customWidth="1"/>
    <col min="2" max="2" width="10.5703125" customWidth="1"/>
    <col min="3" max="3" width="26" customWidth="1"/>
    <col min="4" max="4" width="12" customWidth="1"/>
    <col min="5" max="5" width="8.42578125" customWidth="1"/>
    <col min="6" max="6" width="6.28515625" customWidth="1"/>
    <col min="7" max="7" width="7" customWidth="1"/>
    <col min="8" max="32" width="8.42578125" customWidth="1"/>
    <col min="33" max="33" width="17.28515625" customWidth="1"/>
    <col min="34" max="34" width="43.140625" customWidth="1"/>
    <col min="35" max="35" width="53.85546875" style="85" customWidth="1"/>
    <col min="36" max="36" width="17.7109375" customWidth="1"/>
  </cols>
  <sheetData>
    <row r="1" spans="1:35" ht="7.5" customHeight="1"/>
    <row r="2" spans="1:35" ht="39.75" customHeight="1">
      <c r="B2" s="95" t="s">
        <v>87</v>
      </c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</row>
    <row r="3" spans="1:35" ht="9.75" customHeight="1">
      <c r="H3" s="96" t="s">
        <v>88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7" t="s">
        <v>89</v>
      </c>
      <c r="AD3" s="97"/>
      <c r="AE3" s="97"/>
      <c r="AF3" s="97"/>
    </row>
    <row r="4" spans="1:35" s="72" customFormat="1" ht="60" customHeight="1">
      <c r="A4" s="69" t="s">
        <v>90</v>
      </c>
      <c r="B4" s="69" t="s">
        <v>91</v>
      </c>
      <c r="C4" s="69" t="s">
        <v>92</v>
      </c>
      <c r="D4" s="69" t="s">
        <v>93</v>
      </c>
      <c r="E4" s="69" t="s">
        <v>94</v>
      </c>
      <c r="F4" s="69" t="s">
        <v>95</v>
      </c>
      <c r="G4" s="69" t="s">
        <v>27</v>
      </c>
      <c r="H4" s="70" t="s">
        <v>96</v>
      </c>
      <c r="I4" s="70" t="s">
        <v>97</v>
      </c>
      <c r="J4" s="70" t="s">
        <v>98</v>
      </c>
      <c r="K4" s="70" t="s">
        <v>99</v>
      </c>
      <c r="L4" s="70" t="s">
        <v>100</v>
      </c>
      <c r="M4" s="70" t="s">
        <v>101</v>
      </c>
      <c r="N4" s="70" t="s">
        <v>102</v>
      </c>
      <c r="O4" s="70" t="s">
        <v>103</v>
      </c>
      <c r="P4" s="70" t="s">
        <v>104</v>
      </c>
      <c r="Q4" s="70" t="s">
        <v>105</v>
      </c>
      <c r="R4" s="70" t="s">
        <v>106</v>
      </c>
      <c r="S4" s="70" t="s">
        <v>107</v>
      </c>
      <c r="T4" s="70" t="s">
        <v>108</v>
      </c>
      <c r="U4" s="70" t="s">
        <v>109</v>
      </c>
      <c r="V4" s="70" t="s">
        <v>110</v>
      </c>
      <c r="W4" s="70" t="s">
        <v>111</v>
      </c>
      <c r="X4" s="70" t="s">
        <v>112</v>
      </c>
      <c r="Y4" s="70" t="s">
        <v>113</v>
      </c>
      <c r="Z4" s="70" t="s">
        <v>114</v>
      </c>
      <c r="AA4" s="70" t="s">
        <v>115</v>
      </c>
      <c r="AB4" s="70" t="s">
        <v>116</v>
      </c>
      <c r="AC4" s="71" t="s">
        <v>117</v>
      </c>
      <c r="AD4" s="71" t="s">
        <v>118</v>
      </c>
      <c r="AE4" s="71" t="s">
        <v>119</v>
      </c>
      <c r="AF4" s="71" t="s">
        <v>120</v>
      </c>
      <c r="AH4" s="81" t="s">
        <v>121</v>
      </c>
      <c r="AI4" s="81" t="s">
        <v>122</v>
      </c>
    </row>
    <row r="5" spans="1:35" ht="21.75" customHeight="1">
      <c r="A5" s="46">
        <v>1</v>
      </c>
      <c r="B5" s="47" t="s">
        <v>123</v>
      </c>
      <c r="C5" s="48" t="s">
        <v>124</v>
      </c>
      <c r="D5" s="46" t="s">
        <v>125</v>
      </c>
      <c r="E5" s="49" t="s">
        <v>126</v>
      </c>
      <c r="F5" s="50">
        <v>24</v>
      </c>
      <c r="G5" s="51">
        <f>IFERROR(COUNTIF(H5:AF5,"Completado")/(COUNTA(H5:AF5)-COUNTIF(H5:AF5,"N/A")),0)</f>
        <v>0.96</v>
      </c>
      <c r="H5" s="61" t="s">
        <v>43</v>
      </c>
      <c r="I5" s="61" t="s">
        <v>43</v>
      </c>
      <c r="J5" s="61" t="s">
        <v>43</v>
      </c>
      <c r="K5" s="61" t="s">
        <v>43</v>
      </c>
      <c r="L5" s="61" t="s">
        <v>43</v>
      </c>
      <c r="M5" s="61" t="s">
        <v>43</v>
      </c>
      <c r="N5" s="61" t="s">
        <v>43</v>
      </c>
      <c r="O5" s="61" t="s">
        <v>43</v>
      </c>
      <c r="P5" s="61" t="s">
        <v>43</v>
      </c>
      <c r="Q5" s="61" t="s">
        <v>43</v>
      </c>
      <c r="R5" s="61" t="s">
        <v>43</v>
      </c>
      <c r="S5" s="61" t="s">
        <v>43</v>
      </c>
      <c r="T5" s="61" t="s">
        <v>43</v>
      </c>
      <c r="U5" s="61" t="s">
        <v>43</v>
      </c>
      <c r="V5" s="61" t="s">
        <v>43</v>
      </c>
      <c r="W5" s="61" t="s">
        <v>43</v>
      </c>
      <c r="X5" s="61" t="s">
        <v>43</v>
      </c>
      <c r="Y5" s="61" t="s">
        <v>43</v>
      </c>
      <c r="Z5" s="61" t="s">
        <v>43</v>
      </c>
      <c r="AA5" s="61" t="s">
        <v>43</v>
      </c>
      <c r="AB5" s="61" t="s">
        <v>43</v>
      </c>
      <c r="AC5" s="61" t="s">
        <v>43</v>
      </c>
      <c r="AD5" s="61" t="s">
        <v>43</v>
      </c>
      <c r="AE5" s="61" t="s">
        <v>43</v>
      </c>
      <c r="AF5" s="53" t="s">
        <v>30</v>
      </c>
      <c r="AG5" s="90" t="s">
        <v>127</v>
      </c>
      <c r="AI5" s="93" t="s">
        <v>128</v>
      </c>
    </row>
    <row r="6" spans="1:35" ht="21.75" customHeight="1">
      <c r="A6" s="54">
        <v>2</v>
      </c>
      <c r="B6" s="47" t="s">
        <v>123</v>
      </c>
      <c r="C6" s="55" t="s">
        <v>129</v>
      </c>
      <c r="D6" s="54" t="s">
        <v>130</v>
      </c>
      <c r="E6" s="56" t="s">
        <v>126</v>
      </c>
      <c r="F6" s="50">
        <v>24</v>
      </c>
      <c r="G6" s="51">
        <f>IFERROR(COUNTIF(H6:AF6,"Completado")/(COUNTA(H6:AF6)-COUNTIF(H6:AF6,"N/A")),0)</f>
        <v>0.96</v>
      </c>
      <c r="H6" s="61" t="s">
        <v>43</v>
      </c>
      <c r="I6" s="61" t="s">
        <v>43</v>
      </c>
      <c r="J6" s="61" t="s">
        <v>43</v>
      </c>
      <c r="K6" s="61" t="s">
        <v>43</v>
      </c>
      <c r="L6" s="61" t="s">
        <v>43</v>
      </c>
      <c r="M6" s="61" t="s">
        <v>43</v>
      </c>
      <c r="N6" s="61" t="s">
        <v>43</v>
      </c>
      <c r="O6" s="61" t="s">
        <v>43</v>
      </c>
      <c r="P6" s="61" t="s">
        <v>43</v>
      </c>
      <c r="Q6" s="61" t="s">
        <v>43</v>
      </c>
      <c r="R6" s="61" t="s">
        <v>43</v>
      </c>
      <c r="S6" s="61" t="s">
        <v>43</v>
      </c>
      <c r="T6" s="61" t="s">
        <v>43</v>
      </c>
      <c r="U6" s="61" t="s">
        <v>43</v>
      </c>
      <c r="V6" s="61" t="s">
        <v>43</v>
      </c>
      <c r="W6" s="61" t="s">
        <v>43</v>
      </c>
      <c r="X6" s="61" t="s">
        <v>43</v>
      </c>
      <c r="Y6" s="61" t="s">
        <v>43</v>
      </c>
      <c r="Z6" s="61" t="s">
        <v>43</v>
      </c>
      <c r="AA6" s="61" t="s">
        <v>43</v>
      </c>
      <c r="AB6" s="61" t="s">
        <v>43</v>
      </c>
      <c r="AC6" s="61" t="s">
        <v>43</v>
      </c>
      <c r="AD6" s="61" t="s">
        <v>43</v>
      </c>
      <c r="AE6" s="61" t="s">
        <v>43</v>
      </c>
      <c r="AF6" s="53" t="s">
        <v>30</v>
      </c>
      <c r="AG6" s="90" t="s">
        <v>131</v>
      </c>
      <c r="AH6" t="s">
        <v>132</v>
      </c>
      <c r="AI6" s="82" t="s">
        <v>133</v>
      </c>
    </row>
    <row r="7" spans="1:35" ht="21.75" customHeight="1">
      <c r="A7" s="46">
        <v>3</v>
      </c>
      <c r="B7" s="47" t="s">
        <v>123</v>
      </c>
      <c r="C7" s="48" t="s">
        <v>134</v>
      </c>
      <c r="D7" s="46" t="s">
        <v>130</v>
      </c>
      <c r="E7" s="49" t="s">
        <v>126</v>
      </c>
      <c r="F7" s="50">
        <v>24</v>
      </c>
      <c r="G7" s="51">
        <f>IFERROR(COUNTIF(H7:AF7,"Completado")/(COUNTA(H7:AF7)-COUNTIF(H7:AF7,"N/A")),0)</f>
        <v>0.96</v>
      </c>
      <c r="H7" s="61" t="s">
        <v>43</v>
      </c>
      <c r="I7" s="61" t="s">
        <v>43</v>
      </c>
      <c r="J7" s="61" t="s">
        <v>43</v>
      </c>
      <c r="K7" s="61" t="s">
        <v>43</v>
      </c>
      <c r="L7" s="61" t="s">
        <v>43</v>
      </c>
      <c r="M7" s="61" t="s">
        <v>43</v>
      </c>
      <c r="N7" s="61" t="s">
        <v>43</v>
      </c>
      <c r="O7" s="61" t="s">
        <v>43</v>
      </c>
      <c r="P7" s="61" t="s">
        <v>43</v>
      </c>
      <c r="Q7" s="61" t="s">
        <v>43</v>
      </c>
      <c r="R7" s="61" t="s">
        <v>43</v>
      </c>
      <c r="S7" s="61" t="s">
        <v>43</v>
      </c>
      <c r="T7" s="61" t="s">
        <v>43</v>
      </c>
      <c r="U7" s="61" t="s">
        <v>43</v>
      </c>
      <c r="V7" s="61" t="s">
        <v>43</v>
      </c>
      <c r="W7" s="61" t="s">
        <v>43</v>
      </c>
      <c r="X7" s="61" t="s">
        <v>43</v>
      </c>
      <c r="Y7" s="61" t="s">
        <v>43</v>
      </c>
      <c r="Z7" s="61" t="s">
        <v>43</v>
      </c>
      <c r="AA7" s="61" t="s">
        <v>43</v>
      </c>
      <c r="AB7" s="61" t="s">
        <v>43</v>
      </c>
      <c r="AC7" s="61" t="s">
        <v>43</v>
      </c>
      <c r="AD7" s="61" t="s">
        <v>43</v>
      </c>
      <c r="AE7" s="61" t="s">
        <v>43</v>
      </c>
      <c r="AF7" s="53" t="s">
        <v>30</v>
      </c>
      <c r="AG7" s="90" t="s">
        <v>135</v>
      </c>
      <c r="AH7" s="84" t="s">
        <v>136</v>
      </c>
      <c r="AI7" s="82" t="s">
        <v>137</v>
      </c>
    </row>
    <row r="8" spans="1:35" ht="21.75" customHeight="1">
      <c r="A8" s="54">
        <v>4</v>
      </c>
      <c r="B8" s="47" t="s">
        <v>123</v>
      </c>
      <c r="C8" s="55" t="s">
        <v>138</v>
      </c>
      <c r="D8" s="54" t="s">
        <v>130</v>
      </c>
      <c r="E8" s="56" t="s">
        <v>126</v>
      </c>
      <c r="F8" s="50">
        <v>24</v>
      </c>
      <c r="G8" s="51">
        <f>IFERROR(COUNTIF(H8:AF8,"Completado")/(COUNTA(H8:AF8)-COUNTIF(H8:AF8,"N/A")),0)</f>
        <v>0.96</v>
      </c>
      <c r="H8" s="61" t="s">
        <v>43</v>
      </c>
      <c r="I8" s="61" t="s">
        <v>43</v>
      </c>
      <c r="J8" s="61" t="s">
        <v>43</v>
      </c>
      <c r="K8" s="61" t="s">
        <v>43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1" t="s">
        <v>43</v>
      </c>
      <c r="AC8" s="61" t="s">
        <v>43</v>
      </c>
      <c r="AD8" s="61" t="s">
        <v>43</v>
      </c>
      <c r="AE8" s="61" t="s">
        <v>43</v>
      </c>
      <c r="AF8" s="53" t="s">
        <v>30</v>
      </c>
      <c r="AG8" s="90" t="s">
        <v>139</v>
      </c>
      <c r="AH8" t="s">
        <v>132</v>
      </c>
      <c r="AI8" s="82" t="s">
        <v>140</v>
      </c>
    </row>
    <row r="9" spans="1:35" ht="21.75" customHeight="1">
      <c r="A9" s="46">
        <v>5</v>
      </c>
      <c r="B9" s="47" t="s">
        <v>123</v>
      </c>
      <c r="C9" s="48" t="s">
        <v>141</v>
      </c>
      <c r="D9" s="46" t="s">
        <v>142</v>
      </c>
      <c r="E9" s="59" t="s">
        <v>143</v>
      </c>
      <c r="F9" s="60">
        <v>21</v>
      </c>
      <c r="G9" s="51">
        <f>IFERROR(COUNTIF(H9:AF9,"Completado")/(COUNTA(H9:AF9)-COUNTIF(H9:AF9,"N/A")),0)</f>
        <v>0.96</v>
      </c>
      <c r="H9" s="61" t="s">
        <v>43</v>
      </c>
      <c r="I9" s="61" t="s">
        <v>43</v>
      </c>
      <c r="J9" s="61" t="s">
        <v>43</v>
      </c>
      <c r="K9" s="61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1" t="s">
        <v>43</v>
      </c>
      <c r="AC9" s="61" t="s">
        <v>43</v>
      </c>
      <c r="AD9" s="61" t="s">
        <v>43</v>
      </c>
      <c r="AE9" s="61" t="s">
        <v>43</v>
      </c>
      <c r="AF9" s="53" t="s">
        <v>30</v>
      </c>
      <c r="AG9" s="90" t="s">
        <v>131</v>
      </c>
      <c r="AI9" s="82" t="s">
        <v>144</v>
      </c>
    </row>
    <row r="10" spans="1:35" ht="21.75" customHeight="1">
      <c r="A10" s="54">
        <v>6</v>
      </c>
      <c r="B10" s="47" t="s">
        <v>123</v>
      </c>
      <c r="C10" s="55" t="s">
        <v>145</v>
      </c>
      <c r="D10" s="54" t="s">
        <v>146</v>
      </c>
      <c r="E10" s="56" t="s">
        <v>126</v>
      </c>
      <c r="F10" s="50">
        <v>24</v>
      </c>
      <c r="G10" s="51">
        <f>IFERROR(COUNTIF(H10:AF10,"Completado")/(COUNTA(H10:AF10)-COUNTIF(H10:AF10,"N/A")),0)</f>
        <v>0.96</v>
      </c>
      <c r="H10" s="61" t="s">
        <v>43</v>
      </c>
      <c r="I10" s="61" t="s">
        <v>43</v>
      </c>
      <c r="J10" s="61" t="s">
        <v>43</v>
      </c>
      <c r="K10" s="61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1" t="s">
        <v>43</v>
      </c>
      <c r="AC10" s="61" t="s">
        <v>43</v>
      </c>
      <c r="AD10" s="61" t="s">
        <v>43</v>
      </c>
      <c r="AE10" s="61" t="s">
        <v>43</v>
      </c>
      <c r="AF10" s="53" t="s">
        <v>30</v>
      </c>
      <c r="AG10" s="90" t="s">
        <v>135</v>
      </c>
      <c r="AI10" s="93" t="s">
        <v>147</v>
      </c>
    </row>
    <row r="11" spans="1:35" ht="21.75" customHeight="1">
      <c r="A11" s="46">
        <v>7</v>
      </c>
      <c r="B11" s="47" t="s">
        <v>123</v>
      </c>
      <c r="C11" s="48" t="s">
        <v>148</v>
      </c>
      <c r="D11" s="46" t="s">
        <v>149</v>
      </c>
      <c r="E11" s="49" t="s">
        <v>126</v>
      </c>
      <c r="F11" s="50">
        <v>24</v>
      </c>
      <c r="G11" s="51">
        <f>IFERROR(COUNTIF(H11:AF11,"Completado")/(COUNTA(H11:AF11)-COUNTIF(H11:AF11,"N/A")),0)</f>
        <v>0.96</v>
      </c>
      <c r="H11" s="61" t="s">
        <v>43</v>
      </c>
      <c r="I11" s="61" t="s">
        <v>43</v>
      </c>
      <c r="J11" s="61" t="s">
        <v>43</v>
      </c>
      <c r="K11" s="61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1" t="s">
        <v>43</v>
      </c>
      <c r="AC11" s="61" t="s">
        <v>43</v>
      </c>
      <c r="AD11" s="61" t="s">
        <v>43</v>
      </c>
      <c r="AE11" s="61" t="s">
        <v>43</v>
      </c>
      <c r="AF11" s="53" t="s">
        <v>30</v>
      </c>
      <c r="AG11" s="90" t="s">
        <v>127</v>
      </c>
      <c r="AI11" s="82" t="s">
        <v>150</v>
      </c>
    </row>
    <row r="12" spans="1:35" ht="21.75" customHeight="1">
      <c r="A12" s="46">
        <v>9</v>
      </c>
      <c r="B12" s="50" t="s">
        <v>151</v>
      </c>
      <c r="C12" s="94" t="s">
        <v>152</v>
      </c>
      <c r="D12" s="46" t="s">
        <v>130</v>
      </c>
      <c r="E12" s="56" t="s">
        <v>126</v>
      </c>
      <c r="F12" s="50">
        <v>24</v>
      </c>
      <c r="G12" s="51">
        <f>IFERROR(COUNTIF(H12:AF12,"Completado")/(COUNTA(H12:AF12)-COUNTIF(H12:AF12,"N/A")),0)</f>
        <v>0.96</v>
      </c>
      <c r="H12" s="61" t="s">
        <v>43</v>
      </c>
      <c r="I12" s="61" t="s">
        <v>43</v>
      </c>
      <c r="J12" s="61" t="s">
        <v>43</v>
      </c>
      <c r="K12" s="61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1" t="s">
        <v>43</v>
      </c>
      <c r="AC12" s="61" t="s">
        <v>43</v>
      </c>
      <c r="AD12" s="61" t="s">
        <v>43</v>
      </c>
      <c r="AE12" s="61" t="s">
        <v>43</v>
      </c>
      <c r="AF12" s="53" t="s">
        <v>30</v>
      </c>
      <c r="AG12" s="90" t="s">
        <v>153</v>
      </c>
      <c r="AI12" s="82" t="s">
        <v>154</v>
      </c>
    </row>
    <row r="13" spans="1:35" ht="21.75" customHeight="1">
      <c r="A13" s="54">
        <v>8</v>
      </c>
      <c r="B13" s="50" t="s">
        <v>151</v>
      </c>
      <c r="C13" s="94" t="s">
        <v>155</v>
      </c>
      <c r="D13" s="54" t="s">
        <v>149</v>
      </c>
      <c r="E13" s="56" t="s">
        <v>126</v>
      </c>
      <c r="F13" s="50">
        <v>24</v>
      </c>
      <c r="G13" s="51">
        <f>IFERROR(COUNTIF(H13:AF13,"Completado")/(COUNTA(H13:AF13)-COUNTIF(H13:AF13,"N/A")),0)</f>
        <v>0.96</v>
      </c>
      <c r="H13" s="61" t="s">
        <v>43</v>
      </c>
      <c r="I13" s="61" t="s">
        <v>43</v>
      </c>
      <c r="J13" s="61" t="s">
        <v>43</v>
      </c>
      <c r="K13" s="61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1" t="s">
        <v>43</v>
      </c>
      <c r="AC13" s="61" t="s">
        <v>43</v>
      </c>
      <c r="AD13" s="61" t="s">
        <v>43</v>
      </c>
      <c r="AE13" s="61" t="s">
        <v>43</v>
      </c>
      <c r="AF13" s="53" t="s">
        <v>30</v>
      </c>
      <c r="AG13" s="90" t="s">
        <v>153</v>
      </c>
      <c r="AH13" t="s">
        <v>156</v>
      </c>
      <c r="AI13" s="82" t="s">
        <v>157</v>
      </c>
    </row>
    <row r="14" spans="1:35" ht="19.5" customHeight="1">
      <c r="A14" s="54">
        <v>10</v>
      </c>
      <c r="B14" s="50" t="s">
        <v>151</v>
      </c>
      <c r="C14" s="94" t="s">
        <v>158</v>
      </c>
      <c r="D14" s="54" t="s">
        <v>125</v>
      </c>
      <c r="E14" s="56" t="s">
        <v>126</v>
      </c>
      <c r="F14" s="50">
        <v>24</v>
      </c>
      <c r="G14" s="51">
        <f>IFERROR(COUNTIF(H14:AF14,"Completado")/(COUNTA(H14:AF14)-COUNTIF(H14:AF14,"N/A")),0)</f>
        <v>0.96</v>
      </c>
      <c r="H14" s="61" t="s">
        <v>43</v>
      </c>
      <c r="I14" s="61" t="s">
        <v>43</v>
      </c>
      <c r="J14" s="61" t="s">
        <v>43</v>
      </c>
      <c r="K14" s="61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1" t="s">
        <v>43</v>
      </c>
      <c r="AC14" s="61" t="s">
        <v>43</v>
      </c>
      <c r="AD14" s="61" t="s">
        <v>43</v>
      </c>
      <c r="AE14" s="61" t="s">
        <v>43</v>
      </c>
      <c r="AF14" s="53" t="s">
        <v>30</v>
      </c>
      <c r="AG14" s="90" t="s">
        <v>153</v>
      </c>
      <c r="AI14" s="82" t="s">
        <v>159</v>
      </c>
    </row>
    <row r="15" spans="1:35" ht="21.75" customHeight="1">
      <c r="A15" s="46">
        <v>11</v>
      </c>
      <c r="B15" s="50" t="s">
        <v>151</v>
      </c>
      <c r="C15" s="94" t="s">
        <v>160</v>
      </c>
      <c r="D15" s="46" t="s">
        <v>161</v>
      </c>
      <c r="E15" s="49" t="s">
        <v>126</v>
      </c>
      <c r="F15" s="50">
        <v>24</v>
      </c>
      <c r="G15" s="51">
        <f>IFERROR(COUNTIF(H15:AF15,"Completado")/(COUNTA(H15:AF15)-COUNTIF(H15:AF15,"N/A")),0)</f>
        <v>0.96</v>
      </c>
      <c r="H15" s="61" t="s">
        <v>43</v>
      </c>
      <c r="I15" s="61" t="s">
        <v>43</v>
      </c>
      <c r="J15" s="61" t="s">
        <v>43</v>
      </c>
      <c r="K15" s="61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1" t="s">
        <v>43</v>
      </c>
      <c r="AC15" s="61" t="s">
        <v>43</v>
      </c>
      <c r="AD15" s="61" t="s">
        <v>43</v>
      </c>
      <c r="AE15" s="61" t="s">
        <v>43</v>
      </c>
      <c r="AF15" s="53" t="s">
        <v>30</v>
      </c>
      <c r="AG15" s="90" t="s">
        <v>153</v>
      </c>
      <c r="AH15" s="86" t="s">
        <v>162</v>
      </c>
      <c r="AI15" s="82" t="s">
        <v>163</v>
      </c>
    </row>
    <row r="16" spans="1:35" ht="21.75" customHeight="1">
      <c r="A16" s="54">
        <v>12</v>
      </c>
      <c r="B16" s="50" t="s">
        <v>151</v>
      </c>
      <c r="C16" s="94" t="s">
        <v>164</v>
      </c>
      <c r="D16" s="54" t="s">
        <v>165</v>
      </c>
      <c r="E16" s="56" t="s">
        <v>126</v>
      </c>
      <c r="F16" s="50">
        <v>24</v>
      </c>
      <c r="G16" s="51">
        <f>IFERROR(COUNTIF(H16:AF16,"Completado")/(COUNTA(H16:AF16)-COUNTIF(H16:AF16,"N/A")),0)</f>
        <v>0.96</v>
      </c>
      <c r="H16" s="61" t="s">
        <v>43</v>
      </c>
      <c r="I16" s="61" t="s">
        <v>43</v>
      </c>
      <c r="J16" s="61" t="s">
        <v>43</v>
      </c>
      <c r="K16" s="61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1" t="s">
        <v>43</v>
      </c>
      <c r="AC16" s="61" t="s">
        <v>43</v>
      </c>
      <c r="AD16" s="61" t="s">
        <v>43</v>
      </c>
      <c r="AE16" s="61" t="s">
        <v>43</v>
      </c>
      <c r="AF16" s="53" t="s">
        <v>30</v>
      </c>
      <c r="AG16" s="90" t="s">
        <v>153</v>
      </c>
      <c r="AH16" t="s">
        <v>132</v>
      </c>
      <c r="AI16" s="82" t="s">
        <v>166</v>
      </c>
    </row>
    <row r="17" spans="1:32" ht="21.75" customHeight="1">
      <c r="A17" s="98" t="s">
        <v>167</v>
      </c>
      <c r="B17" s="98"/>
      <c r="C17" s="98"/>
      <c r="D17" s="98"/>
      <c r="E17" s="98"/>
      <c r="F17" s="98"/>
      <c r="G17" s="57">
        <f>IFERROR(AVERAGE(G5:G16),0)</f>
        <v>0.9600000000000003</v>
      </c>
    </row>
    <row r="18" spans="1:32" ht="18" customHeight="1">
      <c r="A18" s="99" t="s">
        <v>168</v>
      </c>
      <c r="B18" s="99"/>
      <c r="C18" s="99"/>
      <c r="D18" s="99"/>
      <c r="E18" s="99"/>
      <c r="F18" s="99"/>
      <c r="G18" s="99"/>
      <c r="H18" s="58">
        <f>COUNTIF(H5:H16,"Completado")</f>
        <v>12</v>
      </c>
      <c r="I18" s="58">
        <f>COUNTIF(I5:I16,"Completado")</f>
        <v>12</v>
      </c>
      <c r="J18" s="58">
        <f>COUNTIF(J5:J16,"Completado")</f>
        <v>12</v>
      </c>
      <c r="K18" s="58">
        <f>COUNTIF(K5:K16,"Completado")</f>
        <v>12</v>
      </c>
      <c r="L18" s="58">
        <f>COUNTIF(L5:L16,"Completado")</f>
        <v>12</v>
      </c>
      <c r="M18" s="58">
        <f>COUNTIF(M5:M16,"Completado")</f>
        <v>12</v>
      </c>
      <c r="N18" s="58">
        <f>COUNTIF(N5:N16,"Completado")</f>
        <v>12</v>
      </c>
      <c r="O18" s="58">
        <f>COUNTIF(O5:O16,"Completado")</f>
        <v>12</v>
      </c>
      <c r="P18" s="58">
        <f>COUNTIF(P5:P16,"Completado")</f>
        <v>12</v>
      </c>
      <c r="Q18" s="58">
        <f>COUNTIF(Q5:Q16,"Completado")</f>
        <v>12</v>
      </c>
      <c r="R18" s="58">
        <f>COUNTIF(R5:R16,"Completado")</f>
        <v>12</v>
      </c>
      <c r="S18" s="58">
        <f>COUNTIF(S5:S16,"Completado")</f>
        <v>12</v>
      </c>
      <c r="T18" s="58">
        <f>COUNTIF(T5:T16,"Completado")</f>
        <v>12</v>
      </c>
      <c r="U18" s="58">
        <f>COUNTIF(U5:U16,"Completado")</f>
        <v>12</v>
      </c>
      <c r="V18" s="58">
        <f>COUNTIF(V5:V16,"Completado")</f>
        <v>12</v>
      </c>
      <c r="W18" s="58">
        <f>COUNTIF(W5:W16,"Completado")</f>
        <v>12</v>
      </c>
      <c r="X18" s="58">
        <f>COUNTIF(X5:X16,"Completado")</f>
        <v>12</v>
      </c>
      <c r="Y18" s="58">
        <f>COUNTIF(Y5:Y16,"Completado")</f>
        <v>12</v>
      </c>
      <c r="Z18" s="58">
        <f>COUNTIF(Z5:Z16,"Completado")</f>
        <v>12</v>
      </c>
      <c r="AA18" s="58">
        <f>COUNTIF(AA5:AA16,"Completado")</f>
        <v>12</v>
      </c>
      <c r="AB18" s="58">
        <f>COUNTIF(AB5:AB16,"Completado")</f>
        <v>12</v>
      </c>
      <c r="AC18" s="58">
        <f>COUNTIF(AC5:AC16,"Completado")</f>
        <v>12</v>
      </c>
      <c r="AD18" s="58">
        <f>COUNTIF(AD5:AD16,"Completado")</f>
        <v>12</v>
      </c>
      <c r="AE18" s="58">
        <f>COUNTIF(AE5:AE16,"Completado")</f>
        <v>12</v>
      </c>
      <c r="AF18" s="58">
        <f>COUNTIF(AF5:AF16,"Completado")</f>
        <v>0</v>
      </c>
    </row>
    <row r="19" spans="1:32" ht="21.75" customHeight="1"/>
    <row r="20" spans="1:32" ht="18" customHeight="1">
      <c r="A20" s="108" t="s">
        <v>169</v>
      </c>
      <c r="B20" s="108"/>
      <c r="C20" s="108"/>
      <c r="D20" s="108"/>
      <c r="E20" s="58" t="s">
        <v>43</v>
      </c>
      <c r="F20" s="30" t="s">
        <v>25</v>
      </c>
      <c r="G20" s="44" t="s">
        <v>30</v>
      </c>
      <c r="H20" s="44" t="s">
        <v>170</v>
      </c>
      <c r="AD20" t="s">
        <v>171</v>
      </c>
    </row>
    <row r="21" spans="1:32" ht="21.75" customHeight="1"/>
  </sheetData>
  <mergeCells count="6">
    <mergeCell ref="A20:D20"/>
    <mergeCell ref="B2:AF2"/>
    <mergeCell ref="H3:AB3"/>
    <mergeCell ref="AC3:AF3"/>
    <mergeCell ref="A17:F17"/>
    <mergeCell ref="A18:G18"/>
  </mergeCells>
  <hyperlinks>
    <hyperlink ref="AI13" r:id="rId1" xr:uid="{B97C62DA-684B-40C2-9EFE-FE3DEA8D9104}"/>
    <hyperlink ref="AI10" r:id="rId2" xr:uid="{38753F4B-34F4-4782-8A42-7A8719BEAEB1}"/>
    <hyperlink ref="AI5" r:id="rId3" xr:uid="{E6416DC9-8A61-44D5-BA7F-C384CC0B5172}"/>
    <hyperlink ref="AI6" r:id="rId4" xr:uid="{346D5D2C-6DF7-43B1-9C42-E3D0D84CDD86}"/>
    <hyperlink ref="AI7" r:id="rId5" xr:uid="{AB63E81A-04BF-4DF4-8E0C-3E627D6148A9}"/>
    <hyperlink ref="AI8" r:id="rId6" xr:uid="{47E9CD65-F0C5-4A0E-92CA-4E38641231FA}"/>
    <hyperlink ref="AI9" r:id="rId7" xr:uid="{0211B401-B8B8-4CA4-844E-AC8E961E4AF0}"/>
    <hyperlink ref="AI11" r:id="rId8" xr:uid="{4C0B9B4B-C75B-472F-84B9-EAB1A067E062}"/>
    <hyperlink ref="AI16" r:id="rId9" xr:uid="{10673130-0956-4000-8E86-035AD2AE7002}"/>
    <hyperlink ref="AI15" r:id="rId10" xr:uid="{B6D0F6D3-54E4-4A23-9D7A-27B4A96EE974}"/>
    <hyperlink ref="AI14" r:id="rId11" xr:uid="{BD6E25FF-3C19-4EE5-BE27-3B636D043CF4}"/>
    <hyperlink ref="AI12" r:id="rId12" xr:uid="{61A42AFC-95EF-46CE-979F-54F024F46C17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6655"/>
  </sheetPr>
  <dimension ref="A1:AL25"/>
  <sheetViews>
    <sheetView zoomScaleNormal="100" workbookViewId="0">
      <pane xSplit="5" ySplit="4" topLeftCell="Z5" activePane="bottomRight" state="frozen"/>
      <selection pane="bottomRight" activeCell="AI5" sqref="AI5"/>
      <selection pane="bottomLeft" activeCell="A5" sqref="A5"/>
      <selection pane="topRight" activeCell="F1" sqref="F1"/>
    </sheetView>
  </sheetViews>
  <sheetFormatPr defaultColWidth="8.7109375" defaultRowHeight="15"/>
  <cols>
    <col min="1" max="1" width="4" customWidth="1"/>
    <col min="2" max="2" width="11.28515625" customWidth="1"/>
    <col min="3" max="3" width="26" customWidth="1"/>
    <col min="4" max="4" width="12.85546875" customWidth="1"/>
    <col min="5" max="5" width="9" customWidth="1"/>
    <col min="6" max="7" width="7" customWidth="1"/>
    <col min="8" max="32" width="8.42578125" customWidth="1"/>
    <col min="33" max="33" width="19.140625" style="90" customWidth="1"/>
    <col min="34" max="34" width="45.85546875" style="85" customWidth="1"/>
    <col min="35" max="35" width="56.42578125" customWidth="1"/>
  </cols>
  <sheetData>
    <row r="1" spans="1:38" ht="7.5" customHeight="1"/>
    <row r="2" spans="1:38" ht="39.75" customHeight="1">
      <c r="B2" s="104" t="s">
        <v>172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</row>
    <row r="3" spans="1:38" ht="9.75" customHeight="1">
      <c r="H3" s="96" t="s">
        <v>88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7" t="s">
        <v>89</v>
      </c>
      <c r="AD3" s="97"/>
      <c r="AE3" s="97"/>
      <c r="AF3" s="97"/>
    </row>
    <row r="4" spans="1:38" s="81" customFormat="1" ht="60" customHeight="1">
      <c r="A4" s="69" t="s">
        <v>90</v>
      </c>
      <c r="B4" s="69" t="s">
        <v>91</v>
      </c>
      <c r="C4" s="69" t="s">
        <v>92</v>
      </c>
      <c r="D4" s="69" t="s">
        <v>93</v>
      </c>
      <c r="E4" s="69" t="s">
        <v>94</v>
      </c>
      <c r="F4" s="69" t="s">
        <v>95</v>
      </c>
      <c r="G4" s="69" t="s">
        <v>27</v>
      </c>
      <c r="H4" s="70" t="s">
        <v>96</v>
      </c>
      <c r="I4" s="70" t="s">
        <v>97</v>
      </c>
      <c r="J4" s="70" t="s">
        <v>98</v>
      </c>
      <c r="K4" s="70" t="s">
        <v>99</v>
      </c>
      <c r="L4" s="70" t="s">
        <v>100</v>
      </c>
      <c r="M4" s="70" t="s">
        <v>101</v>
      </c>
      <c r="N4" s="70" t="s">
        <v>102</v>
      </c>
      <c r="O4" s="70" t="s">
        <v>103</v>
      </c>
      <c r="P4" s="70" t="s">
        <v>104</v>
      </c>
      <c r="Q4" s="70" t="s">
        <v>105</v>
      </c>
      <c r="R4" s="70" t="s">
        <v>106</v>
      </c>
      <c r="S4" s="70" t="s">
        <v>107</v>
      </c>
      <c r="T4" s="70" t="s">
        <v>108</v>
      </c>
      <c r="U4" s="70" t="s">
        <v>109</v>
      </c>
      <c r="V4" s="70" t="s">
        <v>110</v>
      </c>
      <c r="W4" s="70" t="s">
        <v>111</v>
      </c>
      <c r="X4" s="70" t="s">
        <v>112</v>
      </c>
      <c r="Y4" s="70" t="s">
        <v>113</v>
      </c>
      <c r="Z4" s="70" t="s">
        <v>114</v>
      </c>
      <c r="AA4" s="70" t="str">
        <f>' Capa Integración'!AA4</f>
        <v>Capt. Deployment</v>
      </c>
      <c r="AB4" s="70" t="str">
        <f>' Capa Integración'!AB4</f>
        <v>Doc API
.md</v>
      </c>
      <c r="AC4" s="71" t="str">
        <f>' Capa Integración'!AC4</f>
        <v>Carga imagen al ACR</v>
      </c>
      <c r="AD4" s="71" t="str">
        <f>' Capa Integración'!AD4</f>
        <v>Deploy
DEV</v>
      </c>
      <c r="AE4" s="71" t="str">
        <f>' Capa Integración'!AE4</f>
        <v>Valid. Servicio
DEV</v>
      </c>
      <c r="AF4" s="71" t="str">
        <f>' Capa Integración'!AF4</f>
        <v>Deploy
UAT - Pre  PRD</v>
      </c>
      <c r="AG4" s="90"/>
      <c r="AH4" s="85"/>
    </row>
    <row r="5" spans="1:38" ht="21.75" customHeight="1">
      <c r="A5" s="46">
        <v>1</v>
      </c>
      <c r="B5" s="47" t="s">
        <v>123</v>
      </c>
      <c r="C5" s="48" t="s">
        <v>173</v>
      </c>
      <c r="D5" s="46" t="s">
        <v>174</v>
      </c>
      <c r="E5" s="59" t="s">
        <v>143</v>
      </c>
      <c r="F5" s="60">
        <v>21</v>
      </c>
      <c r="G5" s="51">
        <f>IFERROR(COUNTIF(H5:AF5,"Completado")/(COUNTA(H5:AF5)-COUNTIF(H5:AF5,"N/A")),0)</f>
        <v>0.92</v>
      </c>
      <c r="H5" s="61" t="s">
        <v>43</v>
      </c>
      <c r="I5" s="61" t="s">
        <v>43</v>
      </c>
      <c r="J5" s="61" t="s">
        <v>43</v>
      </c>
      <c r="K5" s="61" t="s">
        <v>43</v>
      </c>
      <c r="L5" s="61" t="s">
        <v>43</v>
      </c>
      <c r="M5" s="61" t="s">
        <v>43</v>
      </c>
      <c r="N5" s="61" t="s">
        <v>43</v>
      </c>
      <c r="O5" s="61" t="s">
        <v>43</v>
      </c>
      <c r="P5" s="61" t="s">
        <v>43</v>
      </c>
      <c r="Q5" s="61" t="s">
        <v>43</v>
      </c>
      <c r="R5" s="61" t="s">
        <v>43</v>
      </c>
      <c r="S5" s="61" t="s">
        <v>43</v>
      </c>
      <c r="T5" s="61" t="s">
        <v>43</v>
      </c>
      <c r="U5" s="61" t="s">
        <v>43</v>
      </c>
      <c r="V5" s="61" t="s">
        <v>43</v>
      </c>
      <c r="W5" s="61" t="s">
        <v>43</v>
      </c>
      <c r="X5" s="61" t="s">
        <v>43</v>
      </c>
      <c r="Y5" s="61" t="s">
        <v>43</v>
      </c>
      <c r="Z5" s="61" t="s">
        <v>43</v>
      </c>
      <c r="AA5" s="61" t="s">
        <v>43</v>
      </c>
      <c r="AB5" s="61" t="s">
        <v>43</v>
      </c>
      <c r="AC5" s="61" t="s">
        <v>43</v>
      </c>
      <c r="AD5" s="61" t="s">
        <v>43</v>
      </c>
      <c r="AE5" s="52" t="s">
        <v>25</v>
      </c>
      <c r="AF5" s="53" t="s">
        <v>30</v>
      </c>
      <c r="AG5" s="91" t="s">
        <v>175</v>
      </c>
      <c r="AH5" s="86" t="s">
        <v>176</v>
      </c>
      <c r="AI5" s="92" t="s">
        <v>177</v>
      </c>
    </row>
    <row r="6" spans="1:38" ht="21.75" customHeight="1">
      <c r="A6" s="54">
        <v>2</v>
      </c>
      <c r="B6" s="47" t="s">
        <v>123</v>
      </c>
      <c r="C6" s="55" t="s">
        <v>178</v>
      </c>
      <c r="D6" s="54" t="s">
        <v>179</v>
      </c>
      <c r="E6" s="56" t="s">
        <v>126</v>
      </c>
      <c r="F6" s="50">
        <v>24</v>
      </c>
      <c r="G6" s="51">
        <f>IFERROR(COUNTIF(H6:AF6,"Completado")/(COUNTA(H6:AF6)-COUNTIF(H6:AF6,"N/A")),0)</f>
        <v>0.92</v>
      </c>
      <c r="H6" s="61" t="s">
        <v>43</v>
      </c>
      <c r="I6" s="61" t="s">
        <v>43</v>
      </c>
      <c r="J6" s="61" t="s">
        <v>43</v>
      </c>
      <c r="K6" s="61" t="s">
        <v>43</v>
      </c>
      <c r="L6" s="61" t="s">
        <v>43</v>
      </c>
      <c r="M6" s="61" t="s">
        <v>43</v>
      </c>
      <c r="N6" s="61" t="s">
        <v>43</v>
      </c>
      <c r="O6" s="61" t="s">
        <v>43</v>
      </c>
      <c r="P6" s="61" t="s">
        <v>43</v>
      </c>
      <c r="Q6" s="61" t="s">
        <v>43</v>
      </c>
      <c r="R6" s="61" t="s">
        <v>43</v>
      </c>
      <c r="S6" s="61" t="s">
        <v>43</v>
      </c>
      <c r="T6" s="61" t="s">
        <v>43</v>
      </c>
      <c r="U6" s="61" t="s">
        <v>43</v>
      </c>
      <c r="V6" s="61" t="s">
        <v>43</v>
      </c>
      <c r="W6" s="61" t="s">
        <v>43</v>
      </c>
      <c r="X6" s="61" t="s">
        <v>43</v>
      </c>
      <c r="Y6" s="61" t="s">
        <v>43</v>
      </c>
      <c r="Z6" s="61" t="s">
        <v>43</v>
      </c>
      <c r="AA6" s="61" t="s">
        <v>43</v>
      </c>
      <c r="AB6" s="61" t="s">
        <v>43</v>
      </c>
      <c r="AC6" s="61" t="s">
        <v>43</v>
      </c>
      <c r="AD6" s="61" t="s">
        <v>43</v>
      </c>
      <c r="AE6" s="52" t="s">
        <v>25</v>
      </c>
      <c r="AF6" s="53" t="s">
        <v>30</v>
      </c>
      <c r="AG6" s="91" t="s">
        <v>175</v>
      </c>
      <c r="AH6" s="85" t="s">
        <v>180</v>
      </c>
      <c r="AI6" s="93" t="s">
        <v>181</v>
      </c>
    </row>
    <row r="7" spans="1:38" ht="21.75" customHeight="1">
      <c r="A7" s="46">
        <v>3</v>
      </c>
      <c r="B7" s="47" t="s">
        <v>123</v>
      </c>
      <c r="C7" s="48" t="s">
        <v>182</v>
      </c>
      <c r="D7" s="46" t="s">
        <v>125</v>
      </c>
      <c r="E7" s="49" t="s">
        <v>126</v>
      </c>
      <c r="F7" s="50">
        <v>24</v>
      </c>
      <c r="G7" s="51">
        <f>IFERROR(COUNTIF(H7:AF7,"Completado")/(COUNTA(H7:AF7)-COUNTIF(H7:AF7,"N/A")),0)</f>
        <v>0.88</v>
      </c>
      <c r="H7" s="61" t="s">
        <v>43</v>
      </c>
      <c r="I7" s="61" t="s">
        <v>43</v>
      </c>
      <c r="J7" s="61" t="s">
        <v>43</v>
      </c>
      <c r="K7" s="61" t="s">
        <v>43</v>
      </c>
      <c r="L7" s="61" t="s">
        <v>43</v>
      </c>
      <c r="M7" s="61" t="s">
        <v>43</v>
      </c>
      <c r="N7" s="61" t="s">
        <v>43</v>
      </c>
      <c r="O7" s="61" t="s">
        <v>43</v>
      </c>
      <c r="P7" s="61" t="s">
        <v>43</v>
      </c>
      <c r="Q7" s="61" t="s">
        <v>43</v>
      </c>
      <c r="R7" s="61" t="s">
        <v>43</v>
      </c>
      <c r="S7" s="61" t="s">
        <v>43</v>
      </c>
      <c r="T7" s="61" t="s">
        <v>43</v>
      </c>
      <c r="U7" s="61" t="s">
        <v>43</v>
      </c>
      <c r="V7" s="61" t="s">
        <v>43</v>
      </c>
      <c r="W7" s="61" t="s">
        <v>43</v>
      </c>
      <c r="X7" s="61" t="s">
        <v>43</v>
      </c>
      <c r="Y7" s="61" t="s">
        <v>43</v>
      </c>
      <c r="Z7" s="61" t="s">
        <v>43</v>
      </c>
      <c r="AA7" s="61" t="s">
        <v>43</v>
      </c>
      <c r="AB7" s="61" t="s">
        <v>43</v>
      </c>
      <c r="AC7" s="61" t="s">
        <v>43</v>
      </c>
      <c r="AD7" s="52" t="s">
        <v>25</v>
      </c>
      <c r="AE7" s="52" t="s">
        <v>25</v>
      </c>
      <c r="AF7" s="53" t="s">
        <v>30</v>
      </c>
      <c r="AG7" s="90" t="s">
        <v>135</v>
      </c>
      <c r="AH7" s="86" t="s">
        <v>183</v>
      </c>
      <c r="AI7" s="93" t="s">
        <v>184</v>
      </c>
    </row>
    <row r="8" spans="1:38" ht="21.75" customHeight="1">
      <c r="A8" s="54">
        <v>4</v>
      </c>
      <c r="B8" s="47" t="s">
        <v>123</v>
      </c>
      <c r="C8" s="55" t="s">
        <v>185</v>
      </c>
      <c r="D8" s="54" t="s">
        <v>186</v>
      </c>
      <c r="E8" s="56" t="s">
        <v>126</v>
      </c>
      <c r="F8" s="50">
        <v>24</v>
      </c>
      <c r="G8" s="51">
        <f>IFERROR(COUNTIF(H8:AF8,"Completado")/(COUNTA(H8:AF8)-COUNTIF(H8:AF8,"N/A")),0)</f>
        <v>0.92</v>
      </c>
      <c r="H8" s="61" t="s">
        <v>43</v>
      </c>
      <c r="I8" s="61" t="s">
        <v>43</v>
      </c>
      <c r="J8" s="61" t="s">
        <v>43</v>
      </c>
      <c r="K8" s="61" t="s">
        <v>43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1" t="s">
        <v>43</v>
      </c>
      <c r="AC8" s="61" t="s">
        <v>43</v>
      </c>
      <c r="AD8" s="61" t="s">
        <v>43</v>
      </c>
      <c r="AE8" s="52" t="s">
        <v>25</v>
      </c>
      <c r="AF8" s="53" t="s">
        <v>30</v>
      </c>
      <c r="AG8" s="90" t="s">
        <v>187</v>
      </c>
      <c r="AH8" s="86" t="s">
        <v>188</v>
      </c>
      <c r="AI8" s="92" t="s">
        <v>189</v>
      </c>
    </row>
    <row r="9" spans="1:38" ht="21.75" customHeight="1">
      <c r="A9" s="46">
        <v>5</v>
      </c>
      <c r="B9" s="47" t="s">
        <v>123</v>
      </c>
      <c r="C9" s="48" t="s">
        <v>190</v>
      </c>
      <c r="D9" s="46" t="s">
        <v>174</v>
      </c>
      <c r="E9" s="59" t="s">
        <v>143</v>
      </c>
      <c r="F9" s="60">
        <v>21</v>
      </c>
      <c r="G9" s="51">
        <f>IFERROR(COUNTIF(H9:AF9,"Completado")/(COUNTA(H9:AF9)-COUNTIF(H9:AF9,"N/A")),0)</f>
        <v>0.92</v>
      </c>
      <c r="H9" s="61" t="s">
        <v>43</v>
      </c>
      <c r="I9" s="61" t="s">
        <v>43</v>
      </c>
      <c r="J9" s="61" t="s">
        <v>43</v>
      </c>
      <c r="K9" s="61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1" t="s">
        <v>43</v>
      </c>
      <c r="AC9" s="61" t="s">
        <v>43</v>
      </c>
      <c r="AD9" s="61" t="s">
        <v>43</v>
      </c>
      <c r="AE9" s="52" t="s">
        <v>25</v>
      </c>
      <c r="AF9" s="53" t="s">
        <v>30</v>
      </c>
      <c r="AG9" s="90" t="s">
        <v>131</v>
      </c>
      <c r="AH9" s="86" t="s">
        <v>176</v>
      </c>
    </row>
    <row r="10" spans="1:38" ht="21.75" customHeight="1">
      <c r="A10" s="54">
        <v>6</v>
      </c>
      <c r="B10" s="47" t="s">
        <v>123</v>
      </c>
      <c r="C10" s="55" t="s">
        <v>191</v>
      </c>
      <c r="D10" s="54" t="s">
        <v>186</v>
      </c>
      <c r="E10" s="56" t="s">
        <v>126</v>
      </c>
      <c r="F10" s="50">
        <v>24</v>
      </c>
      <c r="G10" s="51">
        <f>IFERROR(COUNTIF(H10:AF10,"Completado")/(COUNTA(H10:AF10)-COUNTIF(H10:AF10,"N/A")),0)</f>
        <v>0.92</v>
      </c>
      <c r="H10" s="61" t="s">
        <v>43</v>
      </c>
      <c r="I10" s="61" t="s">
        <v>43</v>
      </c>
      <c r="J10" s="61" t="s">
        <v>43</v>
      </c>
      <c r="K10" s="61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1" t="s">
        <v>43</v>
      </c>
      <c r="AC10" s="61" t="s">
        <v>43</v>
      </c>
      <c r="AD10" s="61" t="s">
        <v>43</v>
      </c>
      <c r="AE10" s="52" t="s">
        <v>25</v>
      </c>
      <c r="AF10" s="53" t="s">
        <v>30</v>
      </c>
      <c r="AG10" s="90" t="s">
        <v>135</v>
      </c>
      <c r="AI10" s="82" t="s">
        <v>192</v>
      </c>
    </row>
    <row r="11" spans="1:38" ht="21.75" customHeight="1">
      <c r="A11" s="46">
        <v>7</v>
      </c>
      <c r="B11" s="47" t="s">
        <v>123</v>
      </c>
      <c r="C11" s="48" t="s">
        <v>193</v>
      </c>
      <c r="D11" s="46" t="s">
        <v>174</v>
      </c>
      <c r="E11" s="59" t="s">
        <v>143</v>
      </c>
      <c r="F11" s="60">
        <v>21</v>
      </c>
      <c r="G11" s="51">
        <f>IFERROR(COUNTIF(H11:AF11,"Completado")/(COUNTA(H11:AF11)-COUNTIF(H11:AF11,"N/A")),0)</f>
        <v>0.92</v>
      </c>
      <c r="H11" s="61" t="s">
        <v>43</v>
      </c>
      <c r="I11" s="61" t="s">
        <v>43</v>
      </c>
      <c r="J11" s="61" t="s">
        <v>43</v>
      </c>
      <c r="K11" s="61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1" t="s">
        <v>43</v>
      </c>
      <c r="AC11" s="61" t="s">
        <v>43</v>
      </c>
      <c r="AD11" s="61" t="s">
        <v>43</v>
      </c>
      <c r="AE11" s="52" t="s">
        <v>25</v>
      </c>
      <c r="AF11" s="53" t="s">
        <v>30</v>
      </c>
      <c r="AG11" s="90" t="s">
        <v>127</v>
      </c>
      <c r="AH11" s="86" t="s">
        <v>194</v>
      </c>
      <c r="AL11" s="72"/>
    </row>
    <row r="12" spans="1:38" ht="21.75" customHeight="1">
      <c r="A12" s="54">
        <v>8</v>
      </c>
      <c r="B12" s="47" t="s">
        <v>123</v>
      </c>
      <c r="C12" s="55" t="s">
        <v>195</v>
      </c>
      <c r="D12" s="54" t="s">
        <v>130</v>
      </c>
      <c r="E12" s="56" t="s">
        <v>126</v>
      </c>
      <c r="F12" s="50">
        <v>24</v>
      </c>
      <c r="G12" s="51">
        <f>IFERROR(COUNTIF(H12:AF12,"Completado")/(COUNTA(H12:AF12)-COUNTIF(H12:AF12,"N/A")),0)</f>
        <v>0.92</v>
      </c>
      <c r="H12" s="61" t="s">
        <v>43</v>
      </c>
      <c r="I12" s="61" t="s">
        <v>43</v>
      </c>
      <c r="J12" s="61" t="s">
        <v>43</v>
      </c>
      <c r="K12" s="61" t="s">
        <v>43</v>
      </c>
      <c r="L12" s="61" t="s">
        <v>43</v>
      </c>
      <c r="M12" s="61" t="s">
        <v>43</v>
      </c>
      <c r="N12" s="61" t="s">
        <v>43</v>
      </c>
      <c r="O12" s="61" t="s">
        <v>43</v>
      </c>
      <c r="P12" s="61" t="s">
        <v>43</v>
      </c>
      <c r="Q12" s="61" t="s">
        <v>43</v>
      </c>
      <c r="R12" s="61" t="s">
        <v>43</v>
      </c>
      <c r="S12" s="61" t="s">
        <v>43</v>
      </c>
      <c r="T12" s="61" t="s">
        <v>43</v>
      </c>
      <c r="U12" s="61" t="s">
        <v>43</v>
      </c>
      <c r="V12" s="61" t="s">
        <v>43</v>
      </c>
      <c r="W12" s="61" t="s">
        <v>43</v>
      </c>
      <c r="X12" s="61" t="s">
        <v>43</v>
      </c>
      <c r="Y12" s="61" t="s">
        <v>43</v>
      </c>
      <c r="Z12" s="61" t="s">
        <v>43</v>
      </c>
      <c r="AA12" s="61" t="s">
        <v>43</v>
      </c>
      <c r="AB12" s="61" t="s">
        <v>43</v>
      </c>
      <c r="AC12" s="61" t="s">
        <v>43</v>
      </c>
      <c r="AD12" s="61" t="s">
        <v>43</v>
      </c>
      <c r="AE12" s="52" t="s">
        <v>25</v>
      </c>
      <c r="AF12" s="53" t="s">
        <v>30</v>
      </c>
      <c r="AG12" s="90" t="s">
        <v>127</v>
      </c>
      <c r="AI12" s="93" t="s">
        <v>196</v>
      </c>
    </row>
    <row r="13" spans="1:38" ht="21.75" customHeight="1">
      <c r="A13" s="46">
        <v>9</v>
      </c>
      <c r="B13" s="47" t="s">
        <v>123</v>
      </c>
      <c r="C13" s="48" t="s">
        <v>197</v>
      </c>
      <c r="D13" s="46" t="s">
        <v>174</v>
      </c>
      <c r="E13" s="59" t="s">
        <v>143</v>
      </c>
      <c r="F13" s="60">
        <v>21</v>
      </c>
      <c r="G13" s="51">
        <f>IFERROR(COUNTIF(H13:AF13,"Completado")/(COUNTA(H13:AF13)-COUNTIF(H13:AF13,"N/A")),0)</f>
        <v>0.92</v>
      </c>
      <c r="H13" s="61" t="s">
        <v>43</v>
      </c>
      <c r="I13" s="61" t="s">
        <v>43</v>
      </c>
      <c r="J13" s="61" t="s">
        <v>43</v>
      </c>
      <c r="K13" s="61" t="s">
        <v>43</v>
      </c>
      <c r="L13" s="61" t="s">
        <v>43</v>
      </c>
      <c r="M13" s="61" t="s">
        <v>43</v>
      </c>
      <c r="N13" s="61" t="s">
        <v>43</v>
      </c>
      <c r="O13" s="61" t="s">
        <v>43</v>
      </c>
      <c r="P13" s="61" t="s">
        <v>43</v>
      </c>
      <c r="Q13" s="61" t="s">
        <v>43</v>
      </c>
      <c r="R13" s="61" t="s">
        <v>43</v>
      </c>
      <c r="S13" s="61" t="s">
        <v>43</v>
      </c>
      <c r="T13" s="61" t="s">
        <v>43</v>
      </c>
      <c r="U13" s="61" t="s">
        <v>43</v>
      </c>
      <c r="V13" s="61" t="s">
        <v>43</v>
      </c>
      <c r="W13" s="61" t="s">
        <v>43</v>
      </c>
      <c r="X13" s="61" t="s">
        <v>43</v>
      </c>
      <c r="Y13" s="61" t="s">
        <v>43</v>
      </c>
      <c r="Z13" s="61" t="s">
        <v>43</v>
      </c>
      <c r="AA13" s="61" t="s">
        <v>43</v>
      </c>
      <c r="AB13" s="61" t="s">
        <v>43</v>
      </c>
      <c r="AC13" s="61" t="s">
        <v>43</v>
      </c>
      <c r="AD13" s="61" t="s">
        <v>43</v>
      </c>
      <c r="AE13" s="52" t="s">
        <v>25</v>
      </c>
      <c r="AF13" s="53" t="s">
        <v>30</v>
      </c>
      <c r="AG13" s="90" t="s">
        <v>127</v>
      </c>
      <c r="AH13" s="86" t="s">
        <v>176</v>
      </c>
      <c r="AI13" s="92" t="s">
        <v>198</v>
      </c>
    </row>
    <row r="14" spans="1:38" ht="21.75" customHeight="1">
      <c r="A14" s="54">
        <v>10</v>
      </c>
      <c r="B14" s="47" t="s">
        <v>123</v>
      </c>
      <c r="C14" s="55" t="s">
        <v>199</v>
      </c>
      <c r="D14" s="54" t="s">
        <v>161</v>
      </c>
      <c r="E14" s="56" t="s">
        <v>126</v>
      </c>
      <c r="F14" s="50">
        <v>24</v>
      </c>
      <c r="G14" s="51">
        <f>IFERROR(COUNTIF(H14:AF14,"Completado")/(COUNTA(H14:AF14)-COUNTIF(H14:AF14,"N/A")),0)</f>
        <v>0.96</v>
      </c>
      <c r="H14" s="61" t="s">
        <v>43</v>
      </c>
      <c r="I14" s="61" t="s">
        <v>43</v>
      </c>
      <c r="J14" s="61" t="s">
        <v>43</v>
      </c>
      <c r="K14" s="61" t="s">
        <v>43</v>
      </c>
      <c r="L14" s="61" t="s">
        <v>43</v>
      </c>
      <c r="M14" s="61" t="s">
        <v>43</v>
      </c>
      <c r="N14" s="61" t="s">
        <v>43</v>
      </c>
      <c r="O14" s="61" t="s">
        <v>43</v>
      </c>
      <c r="P14" s="61" t="s">
        <v>43</v>
      </c>
      <c r="Q14" s="61" t="s">
        <v>43</v>
      </c>
      <c r="R14" s="61" t="s">
        <v>43</v>
      </c>
      <c r="S14" s="61" t="s">
        <v>43</v>
      </c>
      <c r="T14" s="61" t="s">
        <v>43</v>
      </c>
      <c r="U14" s="61" t="s">
        <v>43</v>
      </c>
      <c r="V14" s="61" t="s">
        <v>43</v>
      </c>
      <c r="W14" s="61" t="s">
        <v>43</v>
      </c>
      <c r="X14" s="61" t="s">
        <v>43</v>
      </c>
      <c r="Y14" s="61" t="s">
        <v>43</v>
      </c>
      <c r="Z14" s="61" t="s">
        <v>43</v>
      </c>
      <c r="AA14" s="61" t="s">
        <v>43</v>
      </c>
      <c r="AB14" s="61" t="s">
        <v>43</v>
      </c>
      <c r="AC14" s="61" t="s">
        <v>43</v>
      </c>
      <c r="AD14" s="61" t="s">
        <v>43</v>
      </c>
      <c r="AE14" s="61" t="s">
        <v>43</v>
      </c>
      <c r="AF14" s="53" t="s">
        <v>30</v>
      </c>
      <c r="AG14" s="90" t="s">
        <v>131</v>
      </c>
      <c r="AH14" s="86" t="s">
        <v>176</v>
      </c>
      <c r="AI14" s="92" t="s">
        <v>200</v>
      </c>
    </row>
    <row r="15" spans="1:38" ht="21.75" customHeight="1">
      <c r="A15" s="46">
        <v>11</v>
      </c>
      <c r="B15" s="47" t="s">
        <v>123</v>
      </c>
      <c r="C15" s="48" t="s">
        <v>201</v>
      </c>
      <c r="D15" s="46" t="s">
        <v>161</v>
      </c>
      <c r="E15" s="49" t="s">
        <v>126</v>
      </c>
      <c r="F15" s="50">
        <v>24</v>
      </c>
      <c r="G15" s="51">
        <f>IFERROR(COUNTIF(H15:AF15,"Completado")/(COUNTA(H15:AF15)-COUNTIF(H15:AF15,"N/A")),0)</f>
        <v>0.96</v>
      </c>
      <c r="H15" s="61" t="s">
        <v>43</v>
      </c>
      <c r="I15" s="61" t="s">
        <v>43</v>
      </c>
      <c r="J15" s="61" t="s">
        <v>43</v>
      </c>
      <c r="K15" s="61" t="s">
        <v>43</v>
      </c>
      <c r="L15" s="61" t="s">
        <v>43</v>
      </c>
      <c r="M15" s="61" t="s">
        <v>43</v>
      </c>
      <c r="N15" s="61" t="s">
        <v>43</v>
      </c>
      <c r="O15" s="61" t="s">
        <v>43</v>
      </c>
      <c r="P15" s="61" t="s">
        <v>43</v>
      </c>
      <c r="Q15" s="61" t="s">
        <v>43</v>
      </c>
      <c r="R15" s="61" t="s">
        <v>43</v>
      </c>
      <c r="S15" s="61" t="s">
        <v>43</v>
      </c>
      <c r="T15" s="61" t="s">
        <v>43</v>
      </c>
      <c r="U15" s="61" t="s">
        <v>43</v>
      </c>
      <c r="V15" s="61" t="s">
        <v>43</v>
      </c>
      <c r="W15" s="61" t="s">
        <v>43</v>
      </c>
      <c r="X15" s="61" t="s">
        <v>43</v>
      </c>
      <c r="Y15" s="61" t="s">
        <v>43</v>
      </c>
      <c r="Z15" s="61" t="s">
        <v>43</v>
      </c>
      <c r="AA15" s="61" t="s">
        <v>43</v>
      </c>
      <c r="AB15" s="61" t="s">
        <v>43</v>
      </c>
      <c r="AC15" s="61" t="s">
        <v>43</v>
      </c>
      <c r="AD15" s="61" t="s">
        <v>43</v>
      </c>
      <c r="AE15" s="61" t="s">
        <v>43</v>
      </c>
      <c r="AF15" s="53" t="s">
        <v>30</v>
      </c>
      <c r="AG15" s="90" t="s">
        <v>131</v>
      </c>
      <c r="AI15" s="82" t="s">
        <v>202</v>
      </c>
    </row>
    <row r="16" spans="1:38" ht="21.75" customHeight="1">
      <c r="A16" s="54">
        <v>12</v>
      </c>
      <c r="B16" s="50" t="s">
        <v>151</v>
      </c>
      <c r="C16" s="55" t="s">
        <v>203</v>
      </c>
      <c r="D16" s="54" t="s">
        <v>204</v>
      </c>
      <c r="E16" s="56" t="s">
        <v>126</v>
      </c>
      <c r="F16" s="50">
        <v>24</v>
      </c>
      <c r="G16" s="51">
        <f>IFERROR(COUNTIF(H16:AF16,"Completado")/(COUNTA(H16:AF16)-COUNTIF(H16:AF16,"N/A")),0)</f>
        <v>0.84</v>
      </c>
      <c r="H16" s="61" t="s">
        <v>43</v>
      </c>
      <c r="I16" s="61" t="s">
        <v>43</v>
      </c>
      <c r="J16" s="61" t="s">
        <v>43</v>
      </c>
      <c r="K16" s="61" t="s">
        <v>43</v>
      </c>
      <c r="L16" s="61" t="s">
        <v>43</v>
      </c>
      <c r="M16" s="61" t="s">
        <v>43</v>
      </c>
      <c r="N16" s="61" t="s">
        <v>43</v>
      </c>
      <c r="O16" s="61" t="s">
        <v>43</v>
      </c>
      <c r="P16" s="61" t="s">
        <v>43</v>
      </c>
      <c r="Q16" s="61" t="s">
        <v>43</v>
      </c>
      <c r="R16" s="61" t="s">
        <v>43</v>
      </c>
      <c r="S16" s="61" t="s">
        <v>43</v>
      </c>
      <c r="T16" s="61" t="s">
        <v>43</v>
      </c>
      <c r="U16" s="61" t="s">
        <v>43</v>
      </c>
      <c r="V16" s="61" t="s">
        <v>43</v>
      </c>
      <c r="W16" s="61" t="s">
        <v>43</v>
      </c>
      <c r="X16" s="61" t="s">
        <v>43</v>
      </c>
      <c r="Y16" s="61" t="s">
        <v>43</v>
      </c>
      <c r="Z16" s="61" t="s">
        <v>43</v>
      </c>
      <c r="AA16" s="61" t="s">
        <v>43</v>
      </c>
      <c r="AB16" s="61" t="s">
        <v>43</v>
      </c>
      <c r="AC16" s="88" t="s">
        <v>205</v>
      </c>
      <c r="AD16" s="88" t="s">
        <v>205</v>
      </c>
      <c r="AE16" s="88" t="s">
        <v>205</v>
      </c>
      <c r="AF16" s="88" t="s">
        <v>205</v>
      </c>
      <c r="AG16" s="90" t="s">
        <v>206</v>
      </c>
      <c r="AH16" s="87" t="s">
        <v>207</v>
      </c>
      <c r="AI16" s="83" t="s">
        <v>208</v>
      </c>
    </row>
    <row r="17" spans="1:35" ht="21.75" customHeight="1">
      <c r="A17" s="46">
        <v>13</v>
      </c>
      <c r="B17" s="50" t="s">
        <v>151</v>
      </c>
      <c r="C17" s="48" t="s">
        <v>209</v>
      </c>
      <c r="D17" s="46" t="s">
        <v>161</v>
      </c>
      <c r="E17" s="49" t="s">
        <v>126</v>
      </c>
      <c r="F17" s="50">
        <v>24</v>
      </c>
      <c r="G17" s="51">
        <f>IFERROR(COUNTIF(H17:AF17,"Completado")/(COUNTA(H17:AF17)-COUNTIF(H17:AF17,"N/A")),0)</f>
        <v>0.8</v>
      </c>
      <c r="H17" s="61" t="s">
        <v>43</v>
      </c>
      <c r="I17" s="61" t="s">
        <v>43</v>
      </c>
      <c r="J17" s="61" t="s">
        <v>43</v>
      </c>
      <c r="K17" s="61" t="s">
        <v>43</v>
      </c>
      <c r="L17" s="61" t="s">
        <v>43</v>
      </c>
      <c r="M17" s="61" t="s">
        <v>43</v>
      </c>
      <c r="N17" s="61" t="s">
        <v>43</v>
      </c>
      <c r="O17" s="61" t="s">
        <v>43</v>
      </c>
      <c r="P17" s="61" t="s">
        <v>43</v>
      </c>
      <c r="Q17" s="61" t="s">
        <v>43</v>
      </c>
      <c r="R17" s="61" t="s">
        <v>43</v>
      </c>
      <c r="S17" s="61" t="s">
        <v>43</v>
      </c>
      <c r="T17" s="61" t="s">
        <v>43</v>
      </c>
      <c r="U17" s="61" t="s">
        <v>43</v>
      </c>
      <c r="V17" s="61" t="s">
        <v>43</v>
      </c>
      <c r="W17" s="61" t="s">
        <v>43</v>
      </c>
      <c r="X17" s="61" t="s">
        <v>43</v>
      </c>
      <c r="Y17" s="61" t="s">
        <v>43</v>
      </c>
      <c r="Z17" s="61" t="s">
        <v>43</v>
      </c>
      <c r="AA17" s="61" t="s">
        <v>43</v>
      </c>
      <c r="AB17" s="88" t="s">
        <v>205</v>
      </c>
      <c r="AC17" s="88" t="s">
        <v>205</v>
      </c>
      <c r="AD17" s="88" t="s">
        <v>205</v>
      </c>
      <c r="AE17" s="88" t="s">
        <v>205</v>
      </c>
      <c r="AF17" s="88" t="s">
        <v>205</v>
      </c>
      <c r="AG17" s="90" t="s">
        <v>206</v>
      </c>
      <c r="AH17" s="87" t="s">
        <v>207</v>
      </c>
    </row>
    <row r="18" spans="1:35" ht="21.75" customHeight="1">
      <c r="A18" s="54">
        <v>14</v>
      </c>
      <c r="B18" s="50" t="s">
        <v>151</v>
      </c>
      <c r="C18" s="55" t="s">
        <v>210</v>
      </c>
      <c r="D18" s="54" t="s">
        <v>179</v>
      </c>
      <c r="E18" s="56" t="s">
        <v>126</v>
      </c>
      <c r="F18" s="50">
        <v>24</v>
      </c>
      <c r="G18" s="51">
        <f>IFERROR(COUNTIF(H18:AF18,"Completado")/(COUNTA(H18:AF18)-COUNTIF(H18:AF18,"N/A")),0)</f>
        <v>0.96</v>
      </c>
      <c r="H18" s="61" t="s">
        <v>43</v>
      </c>
      <c r="I18" s="61" t="s">
        <v>43</v>
      </c>
      <c r="J18" s="61" t="s">
        <v>43</v>
      </c>
      <c r="K18" s="61" t="s">
        <v>43</v>
      </c>
      <c r="L18" s="61" t="s">
        <v>43</v>
      </c>
      <c r="M18" s="61" t="s">
        <v>43</v>
      </c>
      <c r="N18" s="61" t="s">
        <v>43</v>
      </c>
      <c r="O18" s="61" t="s">
        <v>43</v>
      </c>
      <c r="P18" s="61" t="s">
        <v>43</v>
      </c>
      <c r="Q18" s="61" t="s">
        <v>43</v>
      </c>
      <c r="R18" s="61" t="s">
        <v>43</v>
      </c>
      <c r="S18" s="61" t="s">
        <v>43</v>
      </c>
      <c r="T18" s="61" t="s">
        <v>43</v>
      </c>
      <c r="U18" s="61" t="s">
        <v>43</v>
      </c>
      <c r="V18" s="61" t="s">
        <v>43</v>
      </c>
      <c r="W18" s="61" t="s">
        <v>43</v>
      </c>
      <c r="X18" s="61" t="s">
        <v>43</v>
      </c>
      <c r="Y18" s="61" t="s">
        <v>43</v>
      </c>
      <c r="Z18" s="61" t="s">
        <v>43</v>
      </c>
      <c r="AA18" s="61" t="s">
        <v>43</v>
      </c>
      <c r="AB18" s="61" t="s">
        <v>43</v>
      </c>
      <c r="AC18" s="61" t="s">
        <v>43</v>
      </c>
      <c r="AD18" s="61" t="s">
        <v>43</v>
      </c>
      <c r="AE18" s="61" t="s">
        <v>43</v>
      </c>
      <c r="AF18" s="53" t="s">
        <v>30</v>
      </c>
      <c r="AG18" s="90" t="s">
        <v>127</v>
      </c>
      <c r="AH18" s="86" t="s">
        <v>176</v>
      </c>
      <c r="AI18" s="92" t="s">
        <v>211</v>
      </c>
    </row>
    <row r="19" spans="1:35" ht="21.75" customHeight="1">
      <c r="A19" s="46">
        <v>15</v>
      </c>
      <c r="B19" s="50" t="s">
        <v>151</v>
      </c>
      <c r="C19" s="48" t="s">
        <v>212</v>
      </c>
      <c r="D19" s="46" t="s">
        <v>161</v>
      </c>
      <c r="E19" s="49" t="s">
        <v>126</v>
      </c>
      <c r="F19" s="50">
        <v>24</v>
      </c>
      <c r="G19" s="51">
        <f>IFERROR(COUNTIF(H19:AF19,"Completado")/(COUNTA(H19:AF19)-COUNTIF(H19:AF19,"N/A")),0)</f>
        <v>0.92</v>
      </c>
      <c r="H19" s="61" t="s">
        <v>43</v>
      </c>
      <c r="I19" s="61" t="s">
        <v>43</v>
      </c>
      <c r="J19" s="61" t="s">
        <v>43</v>
      </c>
      <c r="K19" s="61" t="s">
        <v>43</v>
      </c>
      <c r="L19" s="61" t="s">
        <v>43</v>
      </c>
      <c r="M19" s="61" t="s">
        <v>43</v>
      </c>
      <c r="N19" s="61" t="s">
        <v>43</v>
      </c>
      <c r="O19" s="61" t="s">
        <v>43</v>
      </c>
      <c r="P19" s="61" t="s">
        <v>43</v>
      </c>
      <c r="Q19" s="61" t="s">
        <v>43</v>
      </c>
      <c r="R19" s="61" t="s">
        <v>43</v>
      </c>
      <c r="S19" s="61" t="s">
        <v>43</v>
      </c>
      <c r="T19" s="61" t="s">
        <v>43</v>
      </c>
      <c r="U19" s="61" t="s">
        <v>43</v>
      </c>
      <c r="V19" s="61" t="s">
        <v>43</v>
      </c>
      <c r="W19" s="61" t="s">
        <v>43</v>
      </c>
      <c r="X19" s="61" t="s">
        <v>43</v>
      </c>
      <c r="Y19" s="61" t="s">
        <v>43</v>
      </c>
      <c r="Z19" s="61" t="s">
        <v>43</v>
      </c>
      <c r="AA19" s="61" t="s">
        <v>43</v>
      </c>
      <c r="AB19" s="61" t="s">
        <v>43</v>
      </c>
      <c r="AC19" s="61" t="s">
        <v>43</v>
      </c>
      <c r="AD19" s="61" t="s">
        <v>43</v>
      </c>
      <c r="AE19" s="52" t="s">
        <v>25</v>
      </c>
      <c r="AF19" s="53" t="s">
        <v>30</v>
      </c>
      <c r="AG19" s="90" t="s">
        <v>127</v>
      </c>
      <c r="AH19" s="86" t="s">
        <v>176</v>
      </c>
      <c r="AI19" s="92" t="s">
        <v>213</v>
      </c>
    </row>
    <row r="20" spans="1:35" ht="21.75" customHeight="1">
      <c r="A20" s="54">
        <v>16</v>
      </c>
      <c r="B20" s="62" t="s">
        <v>214</v>
      </c>
      <c r="C20" s="55" t="s">
        <v>215</v>
      </c>
      <c r="D20" s="54" t="s">
        <v>179</v>
      </c>
      <c r="E20" s="56" t="s">
        <v>126</v>
      </c>
      <c r="F20" s="50">
        <v>24</v>
      </c>
      <c r="G20" s="51">
        <f>IFERROR(COUNTIF(H20:AF20,"Completado")/(COUNTA(H20:AF20)-COUNTIF(H20:AF20,"N/A")),0)</f>
        <v>0.96</v>
      </c>
      <c r="H20" s="61" t="s">
        <v>43</v>
      </c>
      <c r="I20" s="61" t="s">
        <v>43</v>
      </c>
      <c r="J20" s="61" t="s">
        <v>43</v>
      </c>
      <c r="K20" s="61" t="s">
        <v>43</v>
      </c>
      <c r="L20" s="61" t="s">
        <v>43</v>
      </c>
      <c r="M20" s="61" t="s">
        <v>43</v>
      </c>
      <c r="N20" s="61" t="s">
        <v>43</v>
      </c>
      <c r="O20" s="61" t="s">
        <v>43</v>
      </c>
      <c r="P20" s="61" t="s">
        <v>43</v>
      </c>
      <c r="Q20" s="61" t="s">
        <v>43</v>
      </c>
      <c r="R20" s="61" t="s">
        <v>43</v>
      </c>
      <c r="S20" s="61" t="s">
        <v>43</v>
      </c>
      <c r="T20" s="61" t="s">
        <v>43</v>
      </c>
      <c r="U20" s="61" t="s">
        <v>43</v>
      </c>
      <c r="V20" s="61" t="s">
        <v>43</v>
      </c>
      <c r="W20" s="61" t="s">
        <v>43</v>
      </c>
      <c r="X20" s="61" t="s">
        <v>43</v>
      </c>
      <c r="Y20" s="61" t="s">
        <v>43</v>
      </c>
      <c r="Z20" s="61" t="s">
        <v>43</v>
      </c>
      <c r="AA20" s="61" t="s">
        <v>43</v>
      </c>
      <c r="AB20" s="61" t="s">
        <v>43</v>
      </c>
      <c r="AC20" s="61" t="s">
        <v>43</v>
      </c>
      <c r="AD20" s="61" t="s">
        <v>43</v>
      </c>
      <c r="AE20" s="61" t="s">
        <v>43</v>
      </c>
      <c r="AF20" s="53" t="s">
        <v>30</v>
      </c>
      <c r="AG20" s="90" t="s">
        <v>139</v>
      </c>
      <c r="AI20" s="93" t="s">
        <v>216</v>
      </c>
    </row>
    <row r="21" spans="1:35" ht="21.75" customHeight="1">
      <c r="A21" s="98" t="s">
        <v>217</v>
      </c>
      <c r="B21" s="105"/>
      <c r="C21" s="105"/>
      <c r="D21" s="105"/>
      <c r="E21" s="105"/>
      <c r="F21" s="106"/>
      <c r="G21" s="57">
        <f>IFERROR(AVERAGE(G5:G20),0)</f>
        <v>0.91500000000000004</v>
      </c>
    </row>
    <row r="22" spans="1:35" ht="18" customHeight="1">
      <c r="A22" s="99" t="s">
        <v>168</v>
      </c>
      <c r="B22" s="99"/>
      <c r="C22" s="99"/>
      <c r="D22" s="99"/>
      <c r="E22" s="99"/>
      <c r="F22" s="99"/>
      <c r="G22" s="99"/>
      <c r="H22" s="58">
        <f>COUNTIF(H5:H20,"Completado")</f>
        <v>16</v>
      </c>
      <c r="I22" s="58">
        <f>COUNTIF(I5:I20,"Completado")</f>
        <v>16</v>
      </c>
      <c r="J22" s="58">
        <f>COUNTIF(J5:J20,"Completado")</f>
        <v>16</v>
      </c>
      <c r="K22" s="58">
        <f>COUNTIF(K5:K20,"Completado")</f>
        <v>16</v>
      </c>
      <c r="L22" s="58">
        <f>COUNTIF(L5:L20,"Completado")</f>
        <v>16</v>
      </c>
      <c r="M22" s="58">
        <f>COUNTIF(M5:M20,"Completado")</f>
        <v>16</v>
      </c>
      <c r="N22" s="58">
        <f>COUNTIF(N5:N20,"Completado")</f>
        <v>16</v>
      </c>
      <c r="O22" s="58">
        <f>COUNTIF(O5:O20,"Completado")</f>
        <v>16</v>
      </c>
      <c r="P22" s="58">
        <f>COUNTIF(P5:P20,"Completado")</f>
        <v>16</v>
      </c>
      <c r="Q22" s="58">
        <f>COUNTIF(Q5:Q20,"Completado")</f>
        <v>16</v>
      </c>
      <c r="R22" s="58">
        <f>COUNTIF(R5:R20,"Completado")</f>
        <v>16</v>
      </c>
      <c r="S22" s="58">
        <f>COUNTIF(S5:S20,"Completado")</f>
        <v>16</v>
      </c>
      <c r="T22" s="58">
        <f>COUNTIF(T5:T20,"Completado")</f>
        <v>16</v>
      </c>
      <c r="U22" s="58">
        <f>COUNTIF(U5:U20,"Completado")</f>
        <v>16</v>
      </c>
      <c r="V22" s="58">
        <f>COUNTIF(V5:V20,"Completado")</f>
        <v>16</v>
      </c>
      <c r="W22" s="58">
        <f>COUNTIF(W5:W20,"Completado")</f>
        <v>16</v>
      </c>
      <c r="X22" s="58">
        <f>COUNTIF(X5:X20,"Completado")</f>
        <v>16</v>
      </c>
      <c r="Y22" s="58">
        <f>COUNTIF(Y5:Y20,"Completado")</f>
        <v>16</v>
      </c>
      <c r="Z22" s="58">
        <f>COUNTIF(Z5:Z20,"Completado")</f>
        <v>16</v>
      </c>
      <c r="AA22" s="58">
        <f>COUNTIF(AA5:AA20,"Completado")</f>
        <v>16</v>
      </c>
      <c r="AB22" s="58">
        <f>COUNTIF(AB5:AB20,"Completado")</f>
        <v>15</v>
      </c>
      <c r="AC22" s="58">
        <f>COUNTIF(AC5:AC20,"Completado")</f>
        <v>14</v>
      </c>
      <c r="AD22" s="58">
        <f>COUNTIF(AD5:AD20,"Completado")</f>
        <v>13</v>
      </c>
      <c r="AE22" s="58">
        <f>COUNTIF(AE5:AE20,"Completado")</f>
        <v>4</v>
      </c>
      <c r="AF22" s="58">
        <f>COUNTIF(AF5:AF20,"Completado")</f>
        <v>0</v>
      </c>
    </row>
    <row r="23" spans="1:35" ht="21.75" customHeight="1"/>
    <row r="24" spans="1:35" ht="18" customHeight="1">
      <c r="A24" s="108" t="s">
        <v>169</v>
      </c>
      <c r="B24" s="108"/>
      <c r="C24" s="108"/>
      <c r="D24" s="108"/>
      <c r="E24" s="58" t="s">
        <v>43</v>
      </c>
      <c r="F24" s="30" t="s">
        <v>25</v>
      </c>
      <c r="G24" s="44" t="s">
        <v>30</v>
      </c>
      <c r="H24" s="44" t="s">
        <v>170</v>
      </c>
    </row>
    <row r="25" spans="1:35" ht="21.75" customHeight="1"/>
  </sheetData>
  <mergeCells count="6">
    <mergeCell ref="A24:D24"/>
    <mergeCell ref="B2:AF2"/>
    <mergeCell ref="H3:AB3"/>
    <mergeCell ref="AC3:AF3"/>
    <mergeCell ref="A21:F21"/>
    <mergeCell ref="A22:G22"/>
  </mergeCells>
  <hyperlinks>
    <hyperlink ref="AI10" r:id="rId1" xr:uid="{61B52A6C-B0B5-469B-AD13-91CB269C48EA}"/>
    <hyperlink ref="AI6" r:id="rId2" xr:uid="{E008A249-99FA-49CD-ABBE-E44CC8AAC30C}"/>
    <hyperlink ref="AI12" r:id="rId3" xr:uid="{F3D6EB55-84C1-49AA-AE19-6E8638E8B3CD}"/>
    <hyperlink ref="AI20" r:id="rId4" xr:uid="{43947AFB-EE3B-49D2-98C0-C4D02AB7BEAB}"/>
    <hyperlink ref="AI5" r:id="rId5" xr:uid="{1B4E930B-C776-4616-B44E-8291F7A791F0}"/>
    <hyperlink ref="AI8" r:id="rId6" xr:uid="{30566FC7-B6B9-4E68-9375-1C4374D53F59}"/>
    <hyperlink ref="AI18" r:id="rId7" xr:uid="{ABD02B30-CA12-4A9B-81DE-139FCDCFDA7F}"/>
    <hyperlink ref="AI19" r:id="rId8" xr:uid="{748AFE22-CB49-4382-A763-648E74AFFD8D}"/>
    <hyperlink ref="AI7" r:id="rId9" xr:uid="{BDC0226E-8A35-4FD0-8B8A-2BE670D788BC}"/>
    <hyperlink ref="AI15" r:id="rId10" xr:uid="{62C09257-D812-4D9B-B901-100243F640DC}"/>
    <hyperlink ref="AI14" r:id="rId11" xr:uid="{71E405C2-EE23-4148-ABB4-D23B256B22C0}"/>
    <hyperlink ref="AI16" r:id="rId12" xr:uid="{A59E72BB-EE7E-4EE1-A685-943946D0E797}"/>
    <hyperlink ref="AI13" r:id="rId13" xr:uid="{AD8B6D2E-B705-4C94-BBCE-6A1F9DB057B8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0F87C-7487-4FA7-A700-8A59E41559FE}">
  <sheetPr>
    <tabColor theme="9" tint="-0.249977111117893"/>
  </sheetPr>
  <dimension ref="A1:AI16"/>
  <sheetViews>
    <sheetView zoomScaleNormal="100" workbookViewId="0">
      <pane xSplit="5" ySplit="4" topLeftCell="Z5" activePane="bottomRight" state="frozen"/>
      <selection pane="bottomRight" activeCell="AE11" sqref="AE11"/>
      <selection pane="bottomLeft" activeCell="A5" sqref="A5"/>
      <selection pane="topRight" activeCell="F1" sqref="F1"/>
    </sheetView>
  </sheetViews>
  <sheetFormatPr defaultColWidth="8.7109375" defaultRowHeight="15"/>
  <cols>
    <col min="1" max="1" width="3.42578125" customWidth="1"/>
    <col min="2" max="2" width="10.42578125" customWidth="1"/>
    <col min="3" max="3" width="30.28515625" customWidth="1"/>
    <col min="4" max="4" width="11.42578125" customWidth="1"/>
    <col min="5" max="5" width="8.28515625" customWidth="1"/>
    <col min="6" max="6" width="5.7109375" customWidth="1"/>
    <col min="7" max="7" width="7" customWidth="1"/>
    <col min="8" max="32" width="8.42578125" customWidth="1"/>
    <col min="33" max="33" width="12.140625" customWidth="1"/>
    <col min="34" max="34" width="32" customWidth="1"/>
    <col min="35" max="35" width="59.85546875" customWidth="1"/>
  </cols>
  <sheetData>
    <row r="1" spans="1:35" ht="7.5" customHeight="1"/>
    <row r="2" spans="1:35" ht="39.75" customHeight="1">
      <c r="B2" s="104" t="s">
        <v>218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</row>
    <row r="3" spans="1:35" ht="9.75" customHeight="1">
      <c r="H3" s="96" t="s">
        <v>88</v>
      </c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7" t="s">
        <v>89</v>
      </c>
      <c r="AD3" s="97"/>
      <c r="AE3" s="97"/>
      <c r="AF3" s="97"/>
    </row>
    <row r="4" spans="1:35" s="81" customFormat="1" ht="60" customHeight="1">
      <c r="A4" s="69" t="s">
        <v>90</v>
      </c>
      <c r="B4" s="69" t="s">
        <v>91</v>
      </c>
      <c r="C4" s="69" t="s">
        <v>219</v>
      </c>
      <c r="D4" s="69" t="s">
        <v>220</v>
      </c>
      <c r="E4" s="69" t="s">
        <v>94</v>
      </c>
      <c r="F4" s="69" t="s">
        <v>95</v>
      </c>
      <c r="G4" s="69" t="s">
        <v>27</v>
      </c>
      <c r="H4" s="70" t="s">
        <v>96</v>
      </c>
      <c r="I4" s="70" t="s">
        <v>97</v>
      </c>
      <c r="J4" s="70" t="s">
        <v>98</v>
      </c>
      <c r="K4" s="70" t="s">
        <v>99</v>
      </c>
      <c r="L4" s="70" t="s">
        <v>100</v>
      </c>
      <c r="M4" s="70" t="s">
        <v>101</v>
      </c>
      <c r="N4" s="70" t="s">
        <v>102</v>
      </c>
      <c r="O4" s="70" t="s">
        <v>103</v>
      </c>
      <c r="P4" s="70" t="s">
        <v>104</v>
      </c>
      <c r="Q4" s="70" t="s">
        <v>105</v>
      </c>
      <c r="R4" s="70" t="s">
        <v>106</v>
      </c>
      <c r="S4" s="70" t="s">
        <v>107</v>
      </c>
      <c r="T4" s="70" t="s">
        <v>108</v>
      </c>
      <c r="U4" s="70" t="s">
        <v>109</v>
      </c>
      <c r="V4" s="70" t="s">
        <v>110</v>
      </c>
      <c r="W4" s="70" t="s">
        <v>111</v>
      </c>
      <c r="X4" s="70" t="s">
        <v>112</v>
      </c>
      <c r="Y4" s="70" t="s">
        <v>113</v>
      </c>
      <c r="Z4" s="70" t="s">
        <v>114</v>
      </c>
      <c r="AA4" s="70" t="s">
        <v>115</v>
      </c>
      <c r="AB4" s="70" t="s">
        <v>116</v>
      </c>
      <c r="AC4" s="71" t="s">
        <v>117</v>
      </c>
      <c r="AD4" s="71" t="s">
        <v>118</v>
      </c>
      <c r="AE4" s="71" t="str">
        <f>' Capa Integración'!AE4</f>
        <v>Valid. Servicio
DEV</v>
      </c>
      <c r="AF4" s="71" t="s">
        <v>221</v>
      </c>
    </row>
    <row r="5" spans="1:35" ht="21.75" customHeight="1">
      <c r="A5" s="46">
        <v>1</v>
      </c>
      <c r="B5" s="50" t="s">
        <v>151</v>
      </c>
      <c r="C5" s="48" t="s">
        <v>222</v>
      </c>
      <c r="D5" s="46" t="s">
        <v>165</v>
      </c>
      <c r="E5" s="49" t="s">
        <v>126</v>
      </c>
      <c r="F5" s="50">
        <v>24</v>
      </c>
      <c r="G5" s="51">
        <f>IFERROR(COUNTIF(H5:AF5,"Completado")/(COUNTA(H5:AF5)-COUNTIF(H5:AF5,"N/A")),0)</f>
        <v>0.88</v>
      </c>
      <c r="H5" s="61" t="s">
        <v>43</v>
      </c>
      <c r="I5" s="61" t="s">
        <v>43</v>
      </c>
      <c r="J5" s="61" t="s">
        <v>43</v>
      </c>
      <c r="K5" s="61" t="s">
        <v>43</v>
      </c>
      <c r="L5" s="61" t="s">
        <v>43</v>
      </c>
      <c r="M5" s="61" t="s">
        <v>43</v>
      </c>
      <c r="N5" s="61" t="s">
        <v>43</v>
      </c>
      <c r="O5" s="61" t="s">
        <v>43</v>
      </c>
      <c r="P5" s="61" t="s">
        <v>43</v>
      </c>
      <c r="Q5" s="61" t="s">
        <v>43</v>
      </c>
      <c r="R5" s="61" t="s">
        <v>43</v>
      </c>
      <c r="S5" s="61" t="s">
        <v>43</v>
      </c>
      <c r="T5" s="61" t="s">
        <v>43</v>
      </c>
      <c r="U5" s="61" t="s">
        <v>43</v>
      </c>
      <c r="V5" s="61" t="s">
        <v>43</v>
      </c>
      <c r="W5" s="61" t="s">
        <v>43</v>
      </c>
      <c r="X5" s="61" t="s">
        <v>43</v>
      </c>
      <c r="Y5" s="61" t="s">
        <v>43</v>
      </c>
      <c r="Z5" s="61" t="s">
        <v>43</v>
      </c>
      <c r="AA5" s="61" t="s">
        <v>43</v>
      </c>
      <c r="AB5" s="61" t="s">
        <v>43</v>
      </c>
      <c r="AC5" s="61" t="s">
        <v>43</v>
      </c>
      <c r="AD5" s="53" t="s">
        <v>30</v>
      </c>
      <c r="AE5" s="53" t="s">
        <v>30</v>
      </c>
      <c r="AF5" s="53" t="s">
        <v>30</v>
      </c>
      <c r="AG5" s="90" t="s">
        <v>153</v>
      </c>
      <c r="AH5" s="86" t="s">
        <v>176</v>
      </c>
      <c r="AI5" s="92" t="s">
        <v>223</v>
      </c>
    </row>
    <row r="6" spans="1:35" ht="21.75" customHeight="1">
      <c r="A6" s="68">
        <v>2</v>
      </c>
      <c r="B6" s="50" t="s">
        <v>151</v>
      </c>
      <c r="C6" s="55" t="s">
        <v>224</v>
      </c>
      <c r="D6" s="54" t="s">
        <v>204</v>
      </c>
      <c r="E6" s="56" t="s">
        <v>126</v>
      </c>
      <c r="F6" s="50">
        <v>24</v>
      </c>
      <c r="G6" s="51">
        <f>IFERROR(COUNTIF(H6:AF6,"Completado")/(COUNTA(H6:AF6)-COUNTIF(H6:AF6,"N/A")),0)</f>
        <v>0.88</v>
      </c>
      <c r="H6" s="61" t="s">
        <v>43</v>
      </c>
      <c r="I6" s="61" t="s">
        <v>43</v>
      </c>
      <c r="J6" s="61" t="s">
        <v>43</v>
      </c>
      <c r="K6" s="61" t="s">
        <v>43</v>
      </c>
      <c r="L6" s="61" t="s">
        <v>43</v>
      </c>
      <c r="M6" s="61" t="s">
        <v>43</v>
      </c>
      <c r="N6" s="61" t="s">
        <v>43</v>
      </c>
      <c r="O6" s="61" t="s">
        <v>43</v>
      </c>
      <c r="P6" s="61" t="s">
        <v>43</v>
      </c>
      <c r="Q6" s="61" t="s">
        <v>43</v>
      </c>
      <c r="R6" s="61" t="s">
        <v>43</v>
      </c>
      <c r="S6" s="61" t="s">
        <v>43</v>
      </c>
      <c r="T6" s="61" t="s">
        <v>43</v>
      </c>
      <c r="U6" s="61" t="s">
        <v>43</v>
      </c>
      <c r="V6" s="61" t="s">
        <v>43</v>
      </c>
      <c r="W6" s="61" t="s">
        <v>43</v>
      </c>
      <c r="X6" s="61" t="s">
        <v>43</v>
      </c>
      <c r="Y6" s="61" t="s">
        <v>43</v>
      </c>
      <c r="Z6" s="61" t="s">
        <v>43</v>
      </c>
      <c r="AA6" s="61" t="s">
        <v>43</v>
      </c>
      <c r="AB6" s="61" t="s">
        <v>43</v>
      </c>
      <c r="AC6" s="61" t="s">
        <v>43</v>
      </c>
      <c r="AD6" s="53" t="s">
        <v>30</v>
      </c>
      <c r="AE6" s="53" t="s">
        <v>30</v>
      </c>
      <c r="AF6" s="53" t="s">
        <v>30</v>
      </c>
      <c r="AG6" s="90" t="s">
        <v>153</v>
      </c>
      <c r="AH6" s="86" t="s">
        <v>225</v>
      </c>
      <c r="AI6" s="83" t="s">
        <v>226</v>
      </c>
    </row>
    <row r="7" spans="1:35" ht="21.75" customHeight="1">
      <c r="A7" s="46">
        <v>3</v>
      </c>
      <c r="B7" s="47" t="s">
        <v>123</v>
      </c>
      <c r="C7" s="48" t="s">
        <v>227</v>
      </c>
      <c r="D7" s="46" t="s">
        <v>125</v>
      </c>
      <c r="E7" s="49" t="s">
        <v>126</v>
      </c>
      <c r="F7" s="50">
        <v>24</v>
      </c>
      <c r="G7" s="51">
        <f>IFERROR(COUNTIF(H7:AF7,"Completado")/(COUNTA(H7:AF7)-COUNTIF(H7:AF7,"N/A")),0)</f>
        <v>0.92</v>
      </c>
      <c r="H7" s="61" t="s">
        <v>43</v>
      </c>
      <c r="I7" s="61" t="s">
        <v>43</v>
      </c>
      <c r="J7" s="61" t="s">
        <v>43</v>
      </c>
      <c r="K7" s="61" t="s">
        <v>43</v>
      </c>
      <c r="L7" s="61" t="s">
        <v>43</v>
      </c>
      <c r="M7" s="61" t="s">
        <v>43</v>
      </c>
      <c r="N7" s="61" t="s">
        <v>43</v>
      </c>
      <c r="O7" s="61" t="s">
        <v>43</v>
      </c>
      <c r="P7" s="61" t="s">
        <v>43</v>
      </c>
      <c r="Q7" s="61" t="s">
        <v>43</v>
      </c>
      <c r="R7" s="61" t="s">
        <v>43</v>
      </c>
      <c r="S7" s="61" t="s">
        <v>43</v>
      </c>
      <c r="T7" s="61" t="s">
        <v>43</v>
      </c>
      <c r="U7" s="61" t="s">
        <v>43</v>
      </c>
      <c r="V7" s="61" t="s">
        <v>43</v>
      </c>
      <c r="W7" s="61" t="s">
        <v>43</v>
      </c>
      <c r="X7" s="61" t="s">
        <v>43</v>
      </c>
      <c r="Y7" s="61" t="s">
        <v>43</v>
      </c>
      <c r="Z7" s="61" t="s">
        <v>43</v>
      </c>
      <c r="AA7" s="61" t="s">
        <v>43</v>
      </c>
      <c r="AB7" s="61" t="s">
        <v>43</v>
      </c>
      <c r="AC7" s="61" t="s">
        <v>43</v>
      </c>
      <c r="AD7" s="61" t="s">
        <v>43</v>
      </c>
      <c r="AE7" s="53" t="s">
        <v>30</v>
      </c>
      <c r="AF7" s="53" t="s">
        <v>30</v>
      </c>
      <c r="AG7" s="90" t="s">
        <v>131</v>
      </c>
      <c r="AI7" s="82" t="s">
        <v>228</v>
      </c>
    </row>
    <row r="8" spans="1:35" ht="21.75" customHeight="1">
      <c r="A8" s="54">
        <v>4</v>
      </c>
      <c r="B8" s="47" t="s">
        <v>123</v>
      </c>
      <c r="C8" s="55" t="s">
        <v>229</v>
      </c>
      <c r="D8" s="54" t="s">
        <v>125</v>
      </c>
      <c r="E8" s="56" t="s">
        <v>126</v>
      </c>
      <c r="F8" s="50">
        <v>24</v>
      </c>
      <c r="G8" s="51">
        <f>IFERROR(COUNTIF(H8:AF8,"Completado")/(COUNTA(H8:AF8)-COUNTIF(H8:AF8,"N/A")),0)</f>
        <v>0.92</v>
      </c>
      <c r="H8" s="61" t="s">
        <v>43</v>
      </c>
      <c r="I8" s="61" t="s">
        <v>43</v>
      </c>
      <c r="J8" s="61" t="s">
        <v>43</v>
      </c>
      <c r="K8" s="61" t="s">
        <v>43</v>
      </c>
      <c r="L8" s="61" t="s">
        <v>43</v>
      </c>
      <c r="M8" s="61" t="s">
        <v>43</v>
      </c>
      <c r="N8" s="61" t="s">
        <v>43</v>
      </c>
      <c r="O8" s="61" t="s">
        <v>43</v>
      </c>
      <c r="P8" s="61" t="s">
        <v>43</v>
      </c>
      <c r="Q8" s="61" t="s">
        <v>43</v>
      </c>
      <c r="R8" s="61" t="s">
        <v>43</v>
      </c>
      <c r="S8" s="61" t="s">
        <v>43</v>
      </c>
      <c r="T8" s="61" t="s">
        <v>43</v>
      </c>
      <c r="U8" s="61" t="s">
        <v>43</v>
      </c>
      <c r="V8" s="61" t="s">
        <v>43</v>
      </c>
      <c r="W8" s="61" t="s">
        <v>43</v>
      </c>
      <c r="X8" s="61" t="s">
        <v>43</v>
      </c>
      <c r="Y8" s="61" t="s">
        <v>43</v>
      </c>
      <c r="Z8" s="61" t="s">
        <v>43</v>
      </c>
      <c r="AA8" s="61" t="s">
        <v>43</v>
      </c>
      <c r="AB8" s="61" t="s">
        <v>43</v>
      </c>
      <c r="AC8" s="61" t="s">
        <v>43</v>
      </c>
      <c r="AD8" s="61" t="s">
        <v>43</v>
      </c>
      <c r="AE8" s="52" t="s">
        <v>25</v>
      </c>
      <c r="AF8" s="53" t="s">
        <v>30</v>
      </c>
      <c r="AG8" s="90" t="s">
        <v>131</v>
      </c>
      <c r="AI8" s="82" t="s">
        <v>230</v>
      </c>
    </row>
    <row r="9" spans="1:35" ht="21.75" customHeight="1">
      <c r="A9" s="46">
        <v>5</v>
      </c>
      <c r="B9" s="47" t="s">
        <v>123</v>
      </c>
      <c r="C9" s="48" t="s">
        <v>231</v>
      </c>
      <c r="D9" s="46" t="s">
        <v>232</v>
      </c>
      <c r="E9" s="49" t="s">
        <v>126</v>
      </c>
      <c r="F9" s="50">
        <v>24</v>
      </c>
      <c r="G9" s="51">
        <f>IFERROR(COUNTIF(H9:AF9,"Completado")/(COUNTA(H9:AF9)-COUNTIF(H9:AF9,"N/A")),0)</f>
        <v>0.92</v>
      </c>
      <c r="H9" s="61" t="s">
        <v>43</v>
      </c>
      <c r="I9" s="61" t="s">
        <v>43</v>
      </c>
      <c r="J9" s="61" t="s">
        <v>43</v>
      </c>
      <c r="K9" s="61" t="s">
        <v>43</v>
      </c>
      <c r="L9" s="61" t="s">
        <v>43</v>
      </c>
      <c r="M9" s="61" t="s">
        <v>43</v>
      </c>
      <c r="N9" s="61" t="s">
        <v>43</v>
      </c>
      <c r="O9" s="61" t="s">
        <v>43</v>
      </c>
      <c r="P9" s="61" t="s">
        <v>43</v>
      </c>
      <c r="Q9" s="61" t="s">
        <v>43</v>
      </c>
      <c r="R9" s="61" t="s">
        <v>43</v>
      </c>
      <c r="S9" s="61" t="s">
        <v>43</v>
      </c>
      <c r="T9" s="61" t="s">
        <v>43</v>
      </c>
      <c r="U9" s="61" t="s">
        <v>43</v>
      </c>
      <c r="V9" s="61" t="s">
        <v>43</v>
      </c>
      <c r="W9" s="61" t="s">
        <v>43</v>
      </c>
      <c r="X9" s="61" t="s">
        <v>43</v>
      </c>
      <c r="Y9" s="61" t="s">
        <v>43</v>
      </c>
      <c r="Z9" s="61" t="s">
        <v>43</v>
      </c>
      <c r="AA9" s="61" t="s">
        <v>43</v>
      </c>
      <c r="AB9" s="61" t="s">
        <v>43</v>
      </c>
      <c r="AC9" s="61" t="s">
        <v>43</v>
      </c>
      <c r="AD9" s="61" t="s">
        <v>43</v>
      </c>
      <c r="AE9" s="53" t="s">
        <v>30</v>
      </c>
      <c r="AF9" s="53" t="s">
        <v>30</v>
      </c>
      <c r="AG9" s="90" t="s">
        <v>135</v>
      </c>
      <c r="AI9" s="83" t="s">
        <v>233</v>
      </c>
    </row>
    <row r="10" spans="1:35" ht="21.75" customHeight="1">
      <c r="A10" s="54">
        <v>6</v>
      </c>
      <c r="B10" s="47" t="s">
        <v>123</v>
      </c>
      <c r="C10" s="55" t="s">
        <v>234</v>
      </c>
      <c r="D10" s="54" t="s">
        <v>186</v>
      </c>
      <c r="E10" s="56" t="s">
        <v>126</v>
      </c>
      <c r="F10" s="50">
        <v>24</v>
      </c>
      <c r="G10" s="51">
        <f>IFERROR(COUNTIF(H10:AF10,"Completado")/(COUNTA(H10:AF10)-COUNTIF(H10:AF10,"N/A")),0)</f>
        <v>0.92</v>
      </c>
      <c r="H10" s="61" t="s">
        <v>43</v>
      </c>
      <c r="I10" s="61" t="s">
        <v>43</v>
      </c>
      <c r="J10" s="61" t="s">
        <v>43</v>
      </c>
      <c r="K10" s="61" t="s">
        <v>43</v>
      </c>
      <c r="L10" s="61" t="s">
        <v>43</v>
      </c>
      <c r="M10" s="61" t="s">
        <v>43</v>
      </c>
      <c r="N10" s="61" t="s">
        <v>43</v>
      </c>
      <c r="O10" s="61" t="s">
        <v>43</v>
      </c>
      <c r="P10" s="61" t="s">
        <v>43</v>
      </c>
      <c r="Q10" s="61" t="s">
        <v>43</v>
      </c>
      <c r="R10" s="61" t="s">
        <v>43</v>
      </c>
      <c r="S10" s="61" t="s">
        <v>43</v>
      </c>
      <c r="T10" s="61" t="s">
        <v>43</v>
      </c>
      <c r="U10" s="61" t="s">
        <v>43</v>
      </c>
      <c r="V10" s="61" t="s">
        <v>43</v>
      </c>
      <c r="W10" s="61" t="s">
        <v>43</v>
      </c>
      <c r="X10" s="61" t="s">
        <v>43</v>
      </c>
      <c r="Y10" s="61" t="s">
        <v>43</v>
      </c>
      <c r="Z10" s="61" t="s">
        <v>43</v>
      </c>
      <c r="AA10" s="61" t="s">
        <v>43</v>
      </c>
      <c r="AB10" s="61" t="s">
        <v>43</v>
      </c>
      <c r="AC10" s="61" t="s">
        <v>43</v>
      </c>
      <c r="AD10" s="61" t="s">
        <v>43</v>
      </c>
      <c r="AE10" s="52" t="s">
        <v>25</v>
      </c>
      <c r="AF10" s="53" t="s">
        <v>30</v>
      </c>
      <c r="AG10" s="90" t="s">
        <v>131</v>
      </c>
      <c r="AH10" s="86" t="s">
        <v>176</v>
      </c>
      <c r="AI10" s="83" t="s">
        <v>235</v>
      </c>
    </row>
    <row r="11" spans="1:35" ht="21.75" customHeight="1">
      <c r="A11" s="54">
        <v>7</v>
      </c>
      <c r="B11" s="47" t="s">
        <v>123</v>
      </c>
      <c r="C11" s="48" t="s">
        <v>236</v>
      </c>
      <c r="D11" s="46" t="s">
        <v>130</v>
      </c>
      <c r="E11" s="49" t="s">
        <v>126</v>
      </c>
      <c r="F11" s="50">
        <v>24</v>
      </c>
      <c r="G11" s="51">
        <f>IFERROR(COUNTIF(H11:AF11,"Completado")/(COUNTA(H11:AF11)-COUNTIF(H11:AF11,"N/A")),0)</f>
        <v>0.92</v>
      </c>
      <c r="H11" s="61" t="s">
        <v>43</v>
      </c>
      <c r="I11" s="61" t="s">
        <v>43</v>
      </c>
      <c r="J11" s="61" t="s">
        <v>43</v>
      </c>
      <c r="K11" s="61" t="s">
        <v>43</v>
      </c>
      <c r="L11" s="61" t="s">
        <v>43</v>
      </c>
      <c r="M11" s="61" t="s">
        <v>43</v>
      </c>
      <c r="N11" s="61" t="s">
        <v>43</v>
      </c>
      <c r="O11" s="61" t="s">
        <v>43</v>
      </c>
      <c r="P11" s="61" t="s">
        <v>43</v>
      </c>
      <c r="Q11" s="61" t="s">
        <v>43</v>
      </c>
      <c r="R11" s="61" t="s">
        <v>43</v>
      </c>
      <c r="S11" s="61" t="s">
        <v>43</v>
      </c>
      <c r="T11" s="61" t="s">
        <v>43</v>
      </c>
      <c r="U11" s="61" t="s">
        <v>43</v>
      </c>
      <c r="V11" s="61" t="s">
        <v>43</v>
      </c>
      <c r="W11" s="61" t="s">
        <v>43</v>
      </c>
      <c r="X11" s="61" t="s">
        <v>43</v>
      </c>
      <c r="Y11" s="61" t="s">
        <v>43</v>
      </c>
      <c r="Z11" s="61" t="s">
        <v>43</v>
      </c>
      <c r="AA11" s="61" t="s">
        <v>43</v>
      </c>
      <c r="AB11" s="61" t="s">
        <v>43</v>
      </c>
      <c r="AC11" s="61" t="s">
        <v>43</v>
      </c>
      <c r="AD11" s="61" t="s">
        <v>43</v>
      </c>
      <c r="AE11" s="52" t="s">
        <v>25</v>
      </c>
      <c r="AF11" s="53" t="s">
        <v>30</v>
      </c>
      <c r="AG11" s="90" t="s">
        <v>131</v>
      </c>
      <c r="AI11" s="82" t="s">
        <v>237</v>
      </c>
    </row>
    <row r="12" spans="1:35" ht="21.75" customHeight="1">
      <c r="A12" s="98" t="s">
        <v>238</v>
      </c>
      <c r="B12" s="105"/>
      <c r="C12" s="105"/>
      <c r="D12" s="105"/>
      <c r="E12" s="105"/>
      <c r="F12" s="106"/>
      <c r="G12" s="57">
        <f>IFERROR(AVERAGE(G5:G11),0)</f>
        <v>0.90857142857142859</v>
      </c>
    </row>
    <row r="13" spans="1:35" ht="18" customHeight="1">
      <c r="A13" s="99" t="s">
        <v>168</v>
      </c>
      <c r="B13" s="99"/>
      <c r="C13" s="99"/>
      <c r="D13" s="99"/>
      <c r="E13" s="99"/>
      <c r="F13" s="99"/>
      <c r="G13" s="99"/>
      <c r="H13" s="58">
        <f>COUNTIF(H5:H11,"Completado")</f>
        <v>7</v>
      </c>
      <c r="I13" s="58">
        <f>COUNTIF(I5:I11,"Completado")</f>
        <v>7</v>
      </c>
      <c r="J13" s="58">
        <f>COUNTIF(J5:J11,"Completado")</f>
        <v>7</v>
      </c>
      <c r="K13" s="58">
        <f>COUNTIF(K5:K11,"Completado")</f>
        <v>7</v>
      </c>
      <c r="L13" s="58">
        <f>COUNTIF(L5:L11,"Completado")</f>
        <v>7</v>
      </c>
      <c r="M13" s="58">
        <f>COUNTIF(M5:M11,"Completado")</f>
        <v>7</v>
      </c>
      <c r="N13" s="58">
        <f>COUNTIF(N5:N11,"Completado")</f>
        <v>7</v>
      </c>
      <c r="O13" s="58">
        <f>COUNTIF(O5:O11,"Completado")</f>
        <v>7</v>
      </c>
      <c r="P13" s="58">
        <f>COUNTIF(P5:P11,"Completado")</f>
        <v>7</v>
      </c>
      <c r="Q13" s="58">
        <f>COUNTIF(Q5:Q11,"Completado")</f>
        <v>7</v>
      </c>
      <c r="R13" s="58">
        <f>COUNTIF(R5:R11,"Completado")</f>
        <v>7</v>
      </c>
      <c r="S13" s="58">
        <f>COUNTIF(S5:S11,"Completado")</f>
        <v>7</v>
      </c>
      <c r="T13" s="58">
        <f>COUNTIF(T5:T11,"Completado")</f>
        <v>7</v>
      </c>
      <c r="U13" s="58">
        <f>COUNTIF(U5:U11,"Completado")</f>
        <v>7</v>
      </c>
      <c r="V13" s="58">
        <f>COUNTIF(V5:V11,"Completado")</f>
        <v>7</v>
      </c>
      <c r="W13" s="58">
        <f>COUNTIF(W5:W11,"Completado")</f>
        <v>7</v>
      </c>
      <c r="X13" s="58">
        <f>COUNTIF(X5:X11,"Completado")</f>
        <v>7</v>
      </c>
      <c r="Y13" s="58">
        <f>COUNTIF(Y5:Y11,"Completado")</f>
        <v>7</v>
      </c>
      <c r="Z13" s="58">
        <f>COUNTIF(Z5:Z11,"Completado")</f>
        <v>7</v>
      </c>
      <c r="AA13" s="58">
        <f>COUNTIF(AA5:AA11,"Completado")</f>
        <v>7</v>
      </c>
      <c r="AB13" s="58">
        <f>COUNTIF(AB5:AB11,"Completado")</f>
        <v>7</v>
      </c>
      <c r="AC13" s="58">
        <f>COUNTIF(AC5:AC11,"Completado")</f>
        <v>7</v>
      </c>
      <c r="AD13" s="58">
        <f>COUNTIF(AD5:AD11,"Completado")</f>
        <v>5</v>
      </c>
      <c r="AE13" s="58">
        <f>COUNTIF(AE5:AE11,"Completado")</f>
        <v>0</v>
      </c>
      <c r="AF13" s="58">
        <f>COUNTIF(AF5:AF11,"Completado")</f>
        <v>0</v>
      </c>
    </row>
    <row r="14" spans="1:35" ht="21.75" customHeight="1"/>
    <row r="15" spans="1:35" ht="18" customHeight="1">
      <c r="A15" s="108" t="s">
        <v>169</v>
      </c>
      <c r="B15" s="108"/>
      <c r="C15" s="108"/>
      <c r="D15" s="108"/>
      <c r="E15" s="58" t="s">
        <v>43</v>
      </c>
      <c r="F15" s="30" t="s">
        <v>25</v>
      </c>
      <c r="G15" s="44" t="s">
        <v>30</v>
      </c>
      <c r="H15" s="44" t="s">
        <v>170</v>
      </c>
    </row>
    <row r="16" spans="1:35" ht="21.75" customHeight="1"/>
  </sheetData>
  <mergeCells count="6">
    <mergeCell ref="A15:D15"/>
    <mergeCell ref="B2:AF2"/>
    <mergeCell ref="H3:AB3"/>
    <mergeCell ref="AC3:AF3"/>
    <mergeCell ref="A12:F12"/>
    <mergeCell ref="A13:G13"/>
  </mergeCells>
  <hyperlinks>
    <hyperlink ref="AI8" r:id="rId1" xr:uid="{489A784E-AD71-4930-8CF9-A84AC222206D}"/>
    <hyperlink ref="AI11" r:id="rId2" xr:uid="{3CD29C7C-58B9-41D6-B4A2-BCC8734E54C3}"/>
    <hyperlink ref="AI10" r:id="rId3" xr:uid="{700930E9-D72F-4276-8393-3185EC5EE69C}"/>
    <hyperlink ref="AI5" r:id="rId4" xr:uid="{FC1B9419-9952-41D4-9CD0-ACEE99684C4A}"/>
    <hyperlink ref="AI9" r:id="rId5" xr:uid="{C1832FD6-4F83-4DAA-A990-FD6813DFFD05}"/>
    <hyperlink ref="AI7" r:id="rId6" xr:uid="{3C26AEB5-912C-4B84-AB9D-211935EBFCDF}"/>
    <hyperlink ref="AI6" r:id="rId7" xr:uid="{81DFD983-7D27-4E53-8F19-4D20760D965F}"/>
  </hyperlink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392B"/>
  </sheetPr>
  <dimension ref="B1:I61"/>
  <sheetViews>
    <sheetView topLeftCell="A19" zoomScaleNormal="100" workbookViewId="0">
      <selection activeCell="F38" sqref="F38"/>
    </sheetView>
  </sheetViews>
  <sheetFormatPr defaultColWidth="8.7109375" defaultRowHeight="15"/>
  <cols>
    <col min="1" max="1" width="3" customWidth="1"/>
    <col min="2" max="2" width="26" customWidth="1"/>
    <col min="3" max="3" width="14" customWidth="1"/>
    <col min="4" max="4" width="15" customWidth="1"/>
    <col min="5" max="8" width="12.85546875" customWidth="1"/>
    <col min="9" max="9" width="44.140625" customWidth="1"/>
  </cols>
  <sheetData>
    <row r="1" spans="2:9" ht="18" customHeight="1"/>
    <row r="2" spans="2:9" ht="37.5" customHeight="1">
      <c r="B2" s="107" t="s">
        <v>239</v>
      </c>
      <c r="C2" s="107"/>
      <c r="D2" s="107"/>
      <c r="E2" s="107"/>
      <c r="F2" s="107"/>
      <c r="G2" s="107"/>
      <c r="H2" s="107"/>
    </row>
    <row r="3" spans="2:9" ht="6" customHeight="1">
      <c r="B3" s="63"/>
      <c r="C3" s="63"/>
      <c r="D3" s="63"/>
      <c r="E3" s="63"/>
      <c r="F3" s="63"/>
      <c r="G3" s="63"/>
      <c r="H3" s="63"/>
    </row>
    <row r="4" spans="2:9" ht="21.75" customHeight="1">
      <c r="B4" s="64" t="s">
        <v>31</v>
      </c>
      <c r="C4" s="64" t="s">
        <v>21</v>
      </c>
      <c r="D4" s="64" t="s">
        <v>240</v>
      </c>
      <c r="E4" s="64" t="str">
        <f>' Capa Integración'!AC4</f>
        <v>Carga imagen al ACR</v>
      </c>
      <c r="F4" s="64" t="str">
        <f>' Capa Integración'!AD4</f>
        <v>Deploy
DEV</v>
      </c>
      <c r="G4" s="64" t="str">
        <f>' Capa Integración'!AE4</f>
        <v>Valid. Servicio
DEV</v>
      </c>
      <c r="H4" s="64" t="str">
        <f>' Capa Integración'!AF4</f>
        <v>Deploy
UAT - Pre  PRD</v>
      </c>
      <c r="I4" s="64" t="s">
        <v>241</v>
      </c>
    </row>
    <row r="5" spans="2:9" ht="21.75" customHeight="1">
      <c r="B5" s="48" t="str">
        <f>' Capa Integración'!C5</f>
        <v>sur-auth-broker-insurance</v>
      </c>
      <c r="C5" s="46" t="s">
        <v>29</v>
      </c>
      <c r="D5" s="58" t="str">
        <f>_xlfn.CONCAT(INT((COUNTIF(' Capa Integración'!H5:AB5,"Completado")*100)/21), "% - ", IF(INT((COUNTIF(' Capa Integración'!H5:AB5,"Completado")*100)/21)=100,"Completado",IF(INT((COUNTIF(' Capa Integración'!H5:AB5,"Completado")*100)/21)=0,"Pendiente","En Curso")))</f>
        <v>100% - Completado</v>
      </c>
      <c r="E5" s="58" t="str">
        <f>' Capa Integración'!AC5</f>
        <v>Completado</v>
      </c>
      <c r="F5" s="58" t="str">
        <f>' Capa Integración'!AD5</f>
        <v>Completado</v>
      </c>
      <c r="G5" s="30" t="str">
        <f>' Capa Integración'!AE5</f>
        <v>Completado</v>
      </c>
      <c r="H5" s="65" t="str">
        <f>' Capa Integración'!AF5</f>
        <v>Pendiente</v>
      </c>
      <c r="I5" s="66" t="s">
        <v>242</v>
      </c>
    </row>
    <row r="6" spans="2:9" ht="21.75" customHeight="1">
      <c r="B6" s="55" t="str">
        <f>' Capa Integración'!C6</f>
        <v>sur-auth-mid-buro</v>
      </c>
      <c r="C6" s="54" t="s">
        <v>29</v>
      </c>
      <c r="D6" s="58" t="str">
        <f>_xlfn.CONCAT(INT((COUNTIF(' Capa Integración'!H6:AB6,"Completado")*100)/21), "% - ", IF(INT((COUNTIF(' Capa Integración'!H6:AB6,"Completado")*100)/21)=100,"Completado",IF(INT((COUNTIF(' Capa Integración'!H6:AB6,"Completado")*100)/21)=0,"Pendiente","En Curso")))</f>
        <v>100% - Completado</v>
      </c>
      <c r="E6" s="58" t="str">
        <f>' Capa Integración'!AC6</f>
        <v>Completado</v>
      </c>
      <c r="F6" s="58" t="str">
        <f>' Capa Integración'!AD6</f>
        <v>Completado</v>
      </c>
      <c r="G6" s="30" t="str">
        <f>' Capa Integración'!AE6</f>
        <v>Completado</v>
      </c>
      <c r="H6" s="65" t="str">
        <f>' Capa Integración'!AF6</f>
        <v>Pendiente</v>
      </c>
      <c r="I6" s="67" t="s">
        <v>242</v>
      </c>
    </row>
    <row r="7" spans="2:9" ht="21.75" customHeight="1">
      <c r="B7" s="48" t="str">
        <f>' Capa Integración'!C7</f>
        <v>sur-auth-mid-core-bank</v>
      </c>
      <c r="C7" s="46" t="s">
        <v>29</v>
      </c>
      <c r="D7" s="58" t="str">
        <f>_xlfn.CONCAT(INT((COUNTIF(' Capa Integración'!H7:AB7,"Completado")*100)/21), "% - ", IF(INT((COUNTIF(' Capa Integración'!H7:AB7,"Completado")*100)/21)=100,"Completado",IF(INT((COUNTIF(' Capa Integración'!H7:AB7,"Completado")*100)/21)=0,"Pendiente","En Curso")))</f>
        <v>100% - Completado</v>
      </c>
      <c r="E7" s="58" t="str">
        <f>' Capa Integración'!AC7</f>
        <v>Completado</v>
      </c>
      <c r="F7" s="58" t="str">
        <f>' Capa Integración'!AD7</f>
        <v>Completado</v>
      </c>
      <c r="G7" s="30" t="str">
        <f>' Capa Integración'!AE7</f>
        <v>Completado</v>
      </c>
      <c r="H7" s="65" t="str">
        <f>' Capa Integración'!AF7</f>
        <v>Pendiente</v>
      </c>
      <c r="I7" s="66" t="s">
        <v>242</v>
      </c>
    </row>
    <row r="8" spans="2:9" ht="21.75" customHeight="1">
      <c r="B8" s="55" t="str">
        <f>' Capa Integración'!C8</f>
        <v>sur-auth-messenger</v>
      </c>
      <c r="C8" s="54" t="s">
        <v>29</v>
      </c>
      <c r="D8" s="58" t="str">
        <f>_xlfn.CONCAT(INT((COUNTIF(' Capa Integración'!H8:AB8,"Completado")*100)/21), "% - ", IF(INT((COUNTIF(' Capa Integración'!H8:AB8,"Completado")*100)/21)=100,"Completado",IF(INT((COUNTIF(' Capa Integración'!H8:AB8,"Completado")*100)/21)=0,"Pendiente","En Curso")))</f>
        <v>100% - Completado</v>
      </c>
      <c r="E8" s="58" t="str">
        <f>' Capa Integración'!AC8</f>
        <v>Completado</v>
      </c>
      <c r="F8" s="58" t="str">
        <f>' Capa Integración'!AD8</f>
        <v>Completado</v>
      </c>
      <c r="G8" s="30" t="str">
        <f>' Capa Integración'!AE8</f>
        <v>Completado</v>
      </c>
      <c r="H8" s="65" t="str">
        <f>' Capa Integración'!AF8</f>
        <v>Pendiente</v>
      </c>
      <c r="I8" s="67" t="s">
        <v>242</v>
      </c>
    </row>
    <row r="9" spans="2:9" ht="21.75" customHeight="1">
      <c r="B9" s="48" t="str">
        <f>' Capa Integración'!C9</f>
        <v>sur-auth-ms-plaft</v>
      </c>
      <c r="C9" s="46" t="s">
        <v>29</v>
      </c>
      <c r="D9" s="58" t="str">
        <f>_xlfn.CONCAT(INT((COUNTIF(' Capa Integración'!H9:AB9,"Completado")*100)/21), "% - ", IF(INT((COUNTIF(' Capa Integración'!H9:AB9,"Completado")*100)/21)=100,"Completado",IF(INT((COUNTIF(' Capa Integración'!H9:AB9,"Completado")*100)/21)=0,"Pendiente","En Curso")))</f>
        <v>100% - Completado</v>
      </c>
      <c r="E9" s="58" t="str">
        <f>' Capa Integración'!AC9</f>
        <v>Completado</v>
      </c>
      <c r="F9" s="58" t="str">
        <f>' Capa Integración'!AD9</f>
        <v>Completado</v>
      </c>
      <c r="G9" s="30" t="str">
        <f>' Capa Integración'!AE9</f>
        <v>Completado</v>
      </c>
      <c r="H9" s="65" t="str">
        <f>' Capa Integración'!AF9</f>
        <v>Pendiente</v>
      </c>
      <c r="I9" s="66" t="s">
        <v>242</v>
      </c>
    </row>
    <row r="10" spans="2:9" ht="21.75" customHeight="1">
      <c r="B10" s="55" t="str">
        <f>' Capa Integración'!C10</f>
        <v>sur-auth-auth-business</v>
      </c>
      <c r="C10" s="54" t="s">
        <v>29</v>
      </c>
      <c r="D10" s="58" t="str">
        <f>_xlfn.CONCAT(INT((COUNTIF(' Capa Integración'!H10:AB10,"Completado")*100)/21), "% - ", IF(INT((COUNTIF(' Capa Integración'!H10:AB10,"Completado")*100)/21)=100,"Completado",IF(INT((COUNTIF(' Capa Integración'!H10:AB10,"Completado")*100)/21)=0,"Pendiente","En Curso")))</f>
        <v>100% - Completado</v>
      </c>
      <c r="E10" s="58" t="str">
        <f>' Capa Integración'!AC10</f>
        <v>Completado</v>
      </c>
      <c r="F10" s="58" t="str">
        <f>' Capa Integración'!AD10</f>
        <v>Completado</v>
      </c>
      <c r="G10" s="30" t="str">
        <f>' Capa Integración'!AE10</f>
        <v>Completado</v>
      </c>
      <c r="H10" s="65" t="str">
        <f>' Capa Integración'!AF10</f>
        <v>Pendiente</v>
      </c>
      <c r="I10" s="67" t="s">
        <v>242</v>
      </c>
    </row>
    <row r="11" spans="2:9" ht="21.75" customHeight="1">
      <c r="B11" s="48" t="str">
        <f>' Capa Integración'!C11</f>
        <v>sur-auth-base</v>
      </c>
      <c r="C11" s="46" t="s">
        <v>29</v>
      </c>
      <c r="D11" s="58" t="str">
        <f>_xlfn.CONCAT(INT((COUNTIF(' Capa Integración'!H11:AB11,"Completado")*100)/21), "% - ", IF(INT((COUNTIF(' Capa Integración'!H11:AB11,"Completado")*100)/21)=100,"Completado",IF(INT((COUNTIF(' Capa Integración'!H11:AB11,"Completado")*100)/21)=0,"Pendiente","En Curso")))</f>
        <v>100% - Completado</v>
      </c>
      <c r="E11" s="58" t="str">
        <f>' Capa Integración'!AC11</f>
        <v>Completado</v>
      </c>
      <c r="F11" s="58" t="str">
        <f>' Capa Integración'!AD11</f>
        <v>Completado</v>
      </c>
      <c r="G11" s="30" t="str">
        <f>' Capa Integración'!AE11</f>
        <v>Completado</v>
      </c>
      <c r="H11" s="65" t="str">
        <f>' Capa Integración'!AF11</f>
        <v>Pendiente</v>
      </c>
      <c r="I11" s="66" t="s">
        <v>242</v>
      </c>
    </row>
    <row r="12" spans="2:9" ht="21.75" customHeight="1">
      <c r="B12" s="55" t="str">
        <f>' Capa Integración'!C13</f>
        <v>sur-auth-msapimidloan</v>
      </c>
      <c r="C12" s="54" t="s">
        <v>29</v>
      </c>
      <c r="D12" s="58" t="str">
        <f>_xlfn.CONCAT(INT((COUNTIF(' Capa Integración'!H13:AB13,"Completado")*100)/21), "% - ", IF(INT((COUNTIF(' Capa Integración'!H13:AB13,"Completado")*100)/21)=100,"Completado",IF(INT((COUNTIF(' Capa Integración'!H13:AB13,"Completado")*100)/21)=0,"Pendiente","En Curso")))</f>
        <v>100% - Completado</v>
      </c>
      <c r="E12" s="58" t="str">
        <f>' Capa Integración'!AC13</f>
        <v>Completado</v>
      </c>
      <c r="F12" s="58" t="str">
        <f>' Capa Integración'!AD13</f>
        <v>Completado</v>
      </c>
      <c r="G12" s="30" t="str">
        <f>' Capa Integración'!AE13</f>
        <v>Completado</v>
      </c>
      <c r="H12" s="65" t="str">
        <f>' Capa Integración'!AF13</f>
        <v>Pendiente</v>
      </c>
      <c r="I12" s="67" t="s">
        <v>242</v>
      </c>
    </row>
    <row r="13" spans="2:9" ht="21.75" customHeight="1">
      <c r="B13" s="48" t="str">
        <f>' Capa Integración'!C12</f>
        <v>sur-auth-msapimidbusiness</v>
      </c>
      <c r="C13" s="46" t="s">
        <v>29</v>
      </c>
      <c r="D13" s="58" t="str">
        <f>_xlfn.CONCAT(INT((COUNTIF(' Capa Integración'!H12:AB12,"Completado")*100)/21), "% - ", IF(INT((COUNTIF(' Capa Integración'!H12:AB12,"Completado")*100)/21)=100,"Completado",IF(INT((COUNTIF(' Capa Integración'!H12:AB12,"Completado")*100)/21)=0,"Pendiente","En Curso")))</f>
        <v>100% - Completado</v>
      </c>
      <c r="E13" s="58" t="str">
        <f>' Capa Integración'!AC12</f>
        <v>Completado</v>
      </c>
      <c r="F13" s="58" t="str">
        <f>' Capa Integración'!AD12</f>
        <v>Completado</v>
      </c>
      <c r="G13" s="30" t="str">
        <f>' Capa Integración'!AE14</f>
        <v>Completado</v>
      </c>
      <c r="H13" s="65" t="str">
        <f>' Capa Integración'!AF12</f>
        <v>Pendiente</v>
      </c>
      <c r="I13" s="66" t="s">
        <v>242</v>
      </c>
    </row>
    <row r="14" spans="2:9" ht="21.75" customHeight="1">
      <c r="B14" s="55" t="str">
        <f>' Capa Integración'!C14</f>
        <v>sur-auth-msapimidcustomer</v>
      </c>
      <c r="C14" s="54" t="s">
        <v>29</v>
      </c>
      <c r="D14" s="58" t="str">
        <f>_xlfn.CONCAT(INT((COUNTIF(' Capa Integración'!H14:AB14,"Completado")*100)/21), "% - ", IF(INT((COUNTIF(' Capa Integración'!H14:AB14,"Completado")*100)/21)=100,"Completado",IF(INT((COUNTIF(' Capa Integración'!H14:AB14,"Completado")*100)/21)=0,"Pendiente","En Curso")))</f>
        <v>100% - Completado</v>
      </c>
      <c r="E14" s="58" t="str">
        <f>' Capa Integración'!AC14</f>
        <v>Completado</v>
      </c>
      <c r="F14" s="58" t="str">
        <f>' Capa Integración'!AD14</f>
        <v>Completado</v>
      </c>
      <c r="G14" s="30" t="str">
        <f>' Capa Integración'!AE14</f>
        <v>Completado</v>
      </c>
      <c r="H14" s="65" t="str">
        <f>' Capa Integración'!AF14</f>
        <v>Pendiente</v>
      </c>
      <c r="I14" s="67" t="s">
        <v>242</v>
      </c>
    </row>
    <row r="15" spans="2:9" ht="21.75" customHeight="1">
      <c r="B15" s="48" t="str">
        <f>' Capa Integración'!C15</f>
        <v>sur-auth-msmidzytrust</v>
      </c>
      <c r="C15" s="46" t="s">
        <v>29</v>
      </c>
      <c r="D15" s="58" t="str">
        <f>_xlfn.CONCAT(INT((COUNTIF(' Capa Integración'!H15:AB15,"Completado")*100)/21), "% - ", IF(INT((COUNTIF(' Capa Integración'!H15:AB15,"Completado")*100)/21)=100,"Completado",IF(INT((COUNTIF(' Capa Integración'!H15:AB15,"Completado")*100)/21)=0,"Pendiente","En Curso")))</f>
        <v>100% - Completado</v>
      </c>
      <c r="E15" s="58" t="str">
        <f>' Capa Integración'!AC15</f>
        <v>Completado</v>
      </c>
      <c r="F15" s="58" t="str">
        <f>' Capa Integración'!AD15</f>
        <v>Completado</v>
      </c>
      <c r="G15" s="30" t="str">
        <f>' Capa Integración'!AE15</f>
        <v>Completado</v>
      </c>
      <c r="H15" s="65" t="str">
        <f>' Capa Integración'!AF15</f>
        <v>Pendiente</v>
      </c>
      <c r="I15" s="66" t="s">
        <v>242</v>
      </c>
    </row>
    <row r="16" spans="2:9" ht="21.75" customHeight="1">
      <c r="B16" s="55" t="str">
        <f>' Capa Integración'!C16</f>
        <v>sur-auth-ms-mid-identy</v>
      </c>
      <c r="C16" s="54" t="s">
        <v>29</v>
      </c>
      <c r="D16" s="58" t="str">
        <f>_xlfn.CONCAT(INT((COUNTIF(' Capa Integración'!H16:AB16,"Completado")*100)/21), "% - ", IF(INT((COUNTIF(' Capa Integración'!H16:AB16,"Completado")*100)/21)=100,"Completado",IF(INT((COUNTIF(' Capa Integración'!H16:AB16,"Completado")*100)/21)=0,"Pendiente","En Curso")))</f>
        <v>100% - Completado</v>
      </c>
      <c r="E16" s="58" t="str">
        <f>' Capa Integración'!AC16</f>
        <v>Completado</v>
      </c>
      <c r="F16" s="58" t="str">
        <f>' Capa Integración'!AD16</f>
        <v>Completado</v>
      </c>
      <c r="G16" s="30" t="str">
        <f>' Capa Integración'!AE16</f>
        <v>Completado</v>
      </c>
      <c r="H16" s="65" t="str">
        <f>' Capa Integración'!AF16</f>
        <v>Pendiente</v>
      </c>
      <c r="I16" s="67" t="s">
        <v>242</v>
      </c>
    </row>
    <row r="17" spans="2:9" ht="21.75" customHeight="1">
      <c r="B17" s="48" t="str">
        <f>'Capa API'!C5</f>
        <v>sur-auth-authorizers</v>
      </c>
      <c r="C17" s="46" t="s">
        <v>31</v>
      </c>
      <c r="D17" s="58" t="str">
        <f>_xlfn.CONCAT(INT((COUNTIF('Capa API'!H5:AB5,"Completado")*100)/21), "% - ", IF(INT((COUNTIF('Capa API'!H5:AB5,"Completado")*100)/21)=100,"Completado",IF(INT((COUNTIF('Capa API'!H5:AB5,"Completado")*100)/21)=0,"Pendiente","En Curso")))</f>
        <v>100% - Completado</v>
      </c>
      <c r="E17" s="58" t="str">
        <f>'Capa API'!AC5</f>
        <v>Completado</v>
      </c>
      <c r="F17" s="65" t="str">
        <f>'Capa API'!AD5</f>
        <v>Completado</v>
      </c>
      <c r="G17" s="65" t="str">
        <f>'Capa API'!AE5</f>
        <v>En Curso</v>
      </c>
      <c r="H17" s="65" t="str">
        <f>'Capa API'!AF5</f>
        <v>Pendiente</v>
      </c>
      <c r="I17" s="66" t="s">
        <v>242</v>
      </c>
    </row>
    <row r="18" spans="2:9" ht="21.75" customHeight="1">
      <c r="B18" s="55" t="str">
        <f>'Capa API'!C6</f>
        <v>sur-auth-disbursement</v>
      </c>
      <c r="C18" s="54" t="s">
        <v>31</v>
      </c>
      <c r="D18" s="58" t="str">
        <f>_xlfn.CONCAT(INT((COUNTIF('Capa API'!H6:AB6,"Completado")*100)/21), "% - ", IF(INT((COUNTIF('Capa API'!H6:AB6,"Completado")*100)/21)=100,"Completado",IF(INT((COUNTIF('Capa API'!H6:AB6,"Completado")*100)/21)=0,"Pendiente","En Curso")))</f>
        <v>100% - Completado</v>
      </c>
      <c r="E18" s="58" t="str">
        <f>'Capa API'!AC6</f>
        <v>Completado</v>
      </c>
      <c r="F18" s="58" t="str">
        <f>'Capa API'!AD6</f>
        <v>Completado</v>
      </c>
      <c r="G18" s="30" t="str">
        <f>'Capa API'!AE6</f>
        <v>En Curso</v>
      </c>
      <c r="H18" s="65" t="str">
        <f>'Capa API'!AF6</f>
        <v>Pendiente</v>
      </c>
      <c r="I18" s="67" t="s">
        <v>242</v>
      </c>
    </row>
    <row r="19" spans="2:9" ht="21.75" customHeight="1">
      <c r="B19" s="48" t="str">
        <f>'Capa API'!C7</f>
        <v>sur-auth-document-generator</v>
      </c>
      <c r="C19" s="46" t="s">
        <v>31</v>
      </c>
      <c r="D19" s="58" t="str">
        <f>_xlfn.CONCAT(INT((COUNTIF('Capa API'!H7:AB7,"Completado")*100)/21), "% - ", IF(INT((COUNTIF('Capa API'!H7:AB7,"Completado")*100)/21)=100,"Completado",IF(INT((COUNTIF('Capa API'!H7:AB7,"Completado")*100)/21)=0,"Pendiente","En Curso")))</f>
        <v>100% - Completado</v>
      </c>
      <c r="E19" s="58" t="str">
        <f>'Capa API'!AC7</f>
        <v>Completado</v>
      </c>
      <c r="F19" s="30" t="str">
        <f>'Capa API'!AD7</f>
        <v>En Curso</v>
      </c>
      <c r="G19" s="65" t="str">
        <f>'Capa API'!AE7</f>
        <v>En Curso</v>
      </c>
      <c r="H19" s="65" t="str">
        <f>'Capa API'!AF7</f>
        <v>Pendiente</v>
      </c>
      <c r="I19" s="66" t="s">
        <v>242</v>
      </c>
    </row>
    <row r="20" spans="2:9" ht="21.75" customHeight="1">
      <c r="B20" s="55" t="str">
        <f>'Capa API'!C8</f>
        <v>sur-auth-sistematica</v>
      </c>
      <c r="C20" s="54" t="s">
        <v>31</v>
      </c>
      <c r="D20" s="58" t="str">
        <f>_xlfn.CONCAT(INT((COUNTIF('Capa API'!H8:AB8,"Completado")*100)/21), "% - ", IF(INT((COUNTIF('Capa API'!H8:AB8,"Completado")*100)/21)=100,"Completado",IF(INT((COUNTIF('Capa API'!H8:AB8,"Completado")*100)/21)=0,"Pendiente","En Curso")))</f>
        <v>100% - Completado</v>
      </c>
      <c r="E20" s="58" t="str">
        <f>'Capa API'!AC8</f>
        <v>Completado</v>
      </c>
      <c r="F20" s="65" t="str">
        <f>'Capa API'!AD8</f>
        <v>Completado</v>
      </c>
      <c r="G20" s="65" t="str">
        <f>'Capa API'!AE8</f>
        <v>En Curso</v>
      </c>
      <c r="H20" s="65" t="str">
        <f>'Capa API'!AF8</f>
        <v>Pendiente</v>
      </c>
      <c r="I20" s="67" t="s">
        <v>242</v>
      </c>
    </row>
    <row r="21" spans="2:9" ht="21.75" customHeight="1">
      <c r="B21" s="48" t="str">
        <f>'Capa API'!C9</f>
        <v>sur-auth-grupal</v>
      </c>
      <c r="C21" s="46" t="s">
        <v>31</v>
      </c>
      <c r="D21" s="58" t="str">
        <f>_xlfn.CONCAT(INT((COUNTIF('Capa API'!H9:AB9,"Completado")*100)/21), "% - ", IF(INT((COUNTIF('Capa API'!H9:AB9,"Completado")*100)/21)=100,"Completado",IF(INT((COUNTIF('Capa API'!H9:AB9,"Completado")*100)/21)=0,"Pendiente","En Curso")))</f>
        <v>100% - Completado</v>
      </c>
      <c r="E21" s="58" t="str">
        <f>'Capa API'!AC9</f>
        <v>Completado</v>
      </c>
      <c r="F21" s="65" t="str">
        <f>'Capa API'!AD9</f>
        <v>Completado</v>
      </c>
      <c r="G21" s="65" t="str">
        <f>'Capa API'!AE9</f>
        <v>En Curso</v>
      </c>
      <c r="H21" s="65" t="str">
        <f>'Capa API'!AF9</f>
        <v>Pendiente</v>
      </c>
      <c r="I21" s="66" t="s">
        <v>242</v>
      </c>
    </row>
    <row r="22" spans="2:9" ht="21.75" customHeight="1">
      <c r="B22" s="55" t="str">
        <f>'Capa API'!C10</f>
        <v>sur-auth-digital-folder</v>
      </c>
      <c r="C22" s="54" t="s">
        <v>31</v>
      </c>
      <c r="D22" s="58" t="str">
        <f>_xlfn.CONCAT(INT((COUNTIF('Capa API'!H10:AB10,"Completado")*100)/21), "% - ", IF(INT((COUNTIF('Capa API'!H10:AB10,"Completado")*100)/21)=100,"Completado",IF(INT((COUNTIF('Capa API'!H10:AB10,"Completado")*100)/21)=0,"Pendiente","En Curso")))</f>
        <v>100% - Completado</v>
      </c>
      <c r="E22" s="58" t="str">
        <f>'Capa API'!AC10</f>
        <v>Completado</v>
      </c>
      <c r="F22" s="58" t="str">
        <f>'Capa API'!AD10</f>
        <v>Completado</v>
      </c>
      <c r="G22" s="30" t="str">
        <f>'Capa API'!AE10</f>
        <v>En Curso</v>
      </c>
      <c r="H22" s="65" t="str">
        <f>'Capa API'!AF10</f>
        <v>Pendiente</v>
      </c>
      <c r="I22" s="67" t="s">
        <v>242</v>
      </c>
    </row>
    <row r="23" spans="2:9" ht="21.75" customHeight="1">
      <c r="B23" s="48" t="str">
        <f>'Capa API'!C11</f>
        <v>sur-auth-compliance-risk</v>
      </c>
      <c r="C23" s="46" t="s">
        <v>31</v>
      </c>
      <c r="D23" s="58" t="str">
        <f>_xlfn.CONCAT(INT((COUNTIF('Capa API'!H11:AB11,"Completado")*100)/21), "% - ", IF(INT((COUNTIF('Capa API'!H11:AB11,"Completado")*100)/21)=100,"Completado",IF(INT((COUNTIF('Capa API'!H11:AB11,"Completado")*100)/21)=0,"Pendiente","En Curso")))</f>
        <v>100% - Completado</v>
      </c>
      <c r="E23" s="58" t="str">
        <f>'Capa API'!AC11</f>
        <v>Completado</v>
      </c>
      <c r="F23" s="65" t="str">
        <f>'Capa API'!AD11</f>
        <v>Completado</v>
      </c>
      <c r="G23" s="65" t="str">
        <f>'Capa API'!AE11</f>
        <v>En Curso</v>
      </c>
      <c r="H23" s="65" t="str">
        <f>'Capa API'!AF11</f>
        <v>Pendiente</v>
      </c>
      <c r="I23" s="66" t="s">
        <v>242</v>
      </c>
    </row>
    <row r="24" spans="2:9" ht="21.75" customHeight="1">
      <c r="B24" s="55" t="str">
        <f>'Capa API'!C12</f>
        <v>sur-auth-send-app</v>
      </c>
      <c r="C24" s="54" t="s">
        <v>31</v>
      </c>
      <c r="D24" s="58" t="str">
        <f>_xlfn.CONCAT(INT((COUNTIF('Capa API'!H12:AB12,"Completado")*100)/21), "% - ", IF(INT((COUNTIF('Capa API'!H12:AB12,"Completado")*100)/21)=100,"Completado",IF(INT((COUNTIF('Capa API'!H12:AB12,"Completado")*100)/21)=0,"Pendiente","En Curso")))</f>
        <v>100% - Completado</v>
      </c>
      <c r="E24" s="58" t="str">
        <f>'Capa API'!AC12</f>
        <v>Completado</v>
      </c>
      <c r="F24" s="58" t="str">
        <f>'Capa API'!AD12</f>
        <v>Completado</v>
      </c>
      <c r="G24" s="30" t="str">
        <f>'Capa API'!AE12</f>
        <v>En Curso</v>
      </c>
      <c r="H24" s="65" t="str">
        <f>'Capa API'!AF12</f>
        <v>Pendiente</v>
      </c>
      <c r="I24" s="67" t="s">
        <v>242</v>
      </c>
    </row>
    <row r="25" spans="2:9" ht="21.75" customHeight="1">
      <c r="B25" s="48" t="str">
        <f>'Capa API'!C13</f>
        <v>sur-auth-workflow</v>
      </c>
      <c r="C25" s="46" t="s">
        <v>31</v>
      </c>
      <c r="D25" s="58" t="str">
        <f>_xlfn.CONCAT(INT((COUNTIF('Capa API'!H13:AB13,"Completado")*100)/21), "% - ", IF(INT((COUNTIF('Capa API'!H13:AB13,"Completado")*100)/21)=100,"Completado",IF(INT((COUNTIF('Capa API'!H13:AB13,"Completado")*100)/21)=0,"Pendiente","En Curso")))</f>
        <v>100% - Completado</v>
      </c>
      <c r="E25" s="58" t="str">
        <f>'Capa API'!AC13</f>
        <v>Completado</v>
      </c>
      <c r="F25" s="65" t="str">
        <f>'Capa API'!AD13</f>
        <v>Completado</v>
      </c>
      <c r="G25" s="65" t="str">
        <f>'Capa API'!AE13</f>
        <v>En Curso</v>
      </c>
      <c r="H25" s="65" t="str">
        <f>'Capa API'!AF13</f>
        <v>Pendiente</v>
      </c>
      <c r="I25" s="66" t="s">
        <v>242</v>
      </c>
    </row>
    <row r="26" spans="2:9" ht="21.75" customHeight="1">
      <c r="B26" s="55" t="str">
        <f>'Capa API'!C14</f>
        <v>sur-auth-sase-cuma-curema</v>
      </c>
      <c r="C26" s="54" t="s">
        <v>31</v>
      </c>
      <c r="D26" s="58" t="str">
        <f>_xlfn.CONCAT(INT((COUNTIF('Capa API'!H14:AB14,"Completado")*100)/21), "% - ", IF(INT((COUNTIF('Capa API'!H14:AB14,"Completado")*100)/21)=100,"Completado",IF(INT((COUNTIF('Capa API'!H14:AB14,"Completado")*100)/21)=0,"Pendiente","En Curso")))</f>
        <v>100% - Completado</v>
      </c>
      <c r="E26" s="58" t="str">
        <f>'Capa API'!AC14</f>
        <v>Completado</v>
      </c>
      <c r="F26" s="65" t="str">
        <f>'Capa API'!AD14</f>
        <v>Completado</v>
      </c>
      <c r="G26" s="65" t="str">
        <f>'Capa API'!AE14</f>
        <v>Completado</v>
      </c>
      <c r="H26" s="65" t="str">
        <f>'Capa API'!AF14</f>
        <v>Pendiente</v>
      </c>
      <c r="I26" s="67" t="s">
        <v>242</v>
      </c>
    </row>
    <row r="27" spans="2:9" ht="21.75" customHeight="1">
      <c r="B27" s="48" t="str">
        <f>'Capa API'!C15</f>
        <v>sur-auth-opex-trba-crma</v>
      </c>
      <c r="C27" s="46" t="s">
        <v>31</v>
      </c>
      <c r="D27" s="58" t="str">
        <f>_xlfn.CONCAT(INT((COUNTIF('Capa API'!H15:AB15,"Completado")*100)/21), "% - ", IF(INT((COUNTIF('Capa API'!H15:AB15,"Completado")*100)/21)=100,"Completado",IF(INT((COUNTIF('Capa API'!H15:AB15,"Completado")*100)/21)=0,"Pendiente","En Curso")))</f>
        <v>100% - Completado</v>
      </c>
      <c r="E27" s="58" t="str">
        <f>'Capa API'!AC15</f>
        <v>Completado</v>
      </c>
      <c r="F27" s="58" t="str">
        <f>'Capa API'!AD15</f>
        <v>Completado</v>
      </c>
      <c r="G27" s="30" t="str">
        <f>'Capa API'!AE15</f>
        <v>Completado</v>
      </c>
      <c r="H27" s="65" t="str">
        <f>'Capa API'!AF15</f>
        <v>Pendiente</v>
      </c>
      <c r="I27" s="67" t="s">
        <v>242</v>
      </c>
    </row>
    <row r="28" spans="2:9" ht="21.75" customHeight="1">
      <c r="B28" s="55" t="str">
        <f>'Capa API'!C16</f>
        <v>sur-auth-msapicustomer</v>
      </c>
      <c r="C28" s="54" t="s">
        <v>31</v>
      </c>
      <c r="D28" s="58" t="str">
        <f>_xlfn.CONCAT(INT((COUNTIF('Capa API'!H16:AB16,"Completado")*100)/21), "% - ", IF(INT((COUNTIF('Capa API'!H16:AB16,"Completado")*100)/21)=100,"Completado",IF(INT((COUNTIF('Capa API'!H16:AB16,"Completado")*100)/21)=0,"Pendiente","En Curso")))</f>
        <v>100% - Completado</v>
      </c>
      <c r="E28" s="58" t="str">
        <f>'Capa API'!AC16</f>
        <v>No aplica</v>
      </c>
      <c r="F28" s="89" t="str">
        <f>'Capa API'!AD16</f>
        <v>No aplica</v>
      </c>
      <c r="G28" s="89" t="str">
        <f>'Capa API'!AE16</f>
        <v>No aplica</v>
      </c>
      <c r="H28" s="89" t="str">
        <f>'Capa API'!AF16</f>
        <v>No aplica</v>
      </c>
      <c r="I28" s="66" t="s">
        <v>242</v>
      </c>
    </row>
    <row r="29" spans="2:9" ht="21.75" customHeight="1">
      <c r="B29" s="48" t="str">
        <f>'Capa API'!C17</f>
        <v>sur-auth-pasarela-pagos</v>
      </c>
      <c r="C29" s="46" t="s">
        <v>31</v>
      </c>
      <c r="D29" s="58" t="str">
        <f>_xlfn.CONCAT(INT((COUNTIF('Capa API'!H17:AB17,"Completado")*100)/21), "% - ", IF(INT((COUNTIF('Capa API'!H17:AB17,"Completado")*100)/21)=100,"Completado",IF(INT((COUNTIF('Capa API'!H17:AB17,"Completado")*100)/21)=0,"Pendiente","En Curso")))</f>
        <v>95% - En Curso</v>
      </c>
      <c r="E29" s="58" t="str">
        <f>'Capa API'!AC17</f>
        <v>No aplica</v>
      </c>
      <c r="F29" s="89" t="str">
        <f>'Capa API'!AD17</f>
        <v>No aplica</v>
      </c>
      <c r="G29" s="89" t="str">
        <f>'Capa API'!AE17</f>
        <v>No aplica</v>
      </c>
      <c r="H29" s="89" t="str">
        <f>'Capa API'!AF17</f>
        <v>No aplica</v>
      </c>
      <c r="I29" s="67" t="s">
        <v>242</v>
      </c>
    </row>
    <row r="30" spans="2:9" ht="21.75" customHeight="1">
      <c r="B30" s="55" t="str">
        <f>'Capa API'!C18</f>
        <v>sur-auth-msapiloan</v>
      </c>
      <c r="C30" s="54" t="s">
        <v>31</v>
      </c>
      <c r="D30" s="58" t="str">
        <f>_xlfn.CONCAT(INT((COUNTIF('Capa API'!H18:AB18,"Completado")*100)/21), "% - ", IF(INT((COUNTIF('Capa API'!H18:AB18,"Completado")*100)/21)=100,"Completado",IF(INT((COUNTIF('Capa API'!H18:AB18,"Completado")*100)/21)=0,"Pendiente","En Curso")))</f>
        <v>100% - Completado</v>
      </c>
      <c r="E30" s="58" t="str">
        <f>'Capa API'!AC18</f>
        <v>Completado</v>
      </c>
      <c r="F30" s="65" t="str">
        <f>'Capa API'!AD18</f>
        <v>Completado</v>
      </c>
      <c r="G30" s="65" t="str">
        <f>'Capa API'!AE18</f>
        <v>Completado</v>
      </c>
      <c r="H30" s="65" t="str">
        <f>'Capa API'!AF18</f>
        <v>Pendiente</v>
      </c>
      <c r="I30" s="66" t="s">
        <v>242</v>
      </c>
    </row>
    <row r="31" spans="2:9" ht="21.75" customHeight="1">
      <c r="B31" s="48" t="str">
        <f>'Capa API'!C19</f>
        <v>sur-auth-msapibusiness</v>
      </c>
      <c r="C31" s="46" t="s">
        <v>31</v>
      </c>
      <c r="D31" s="58" t="str">
        <f>_xlfn.CONCAT(INT((COUNTIF('Capa API'!H19:AB19,"Completado")*100)/21), "% - ", IF(INT((COUNTIF('Capa API'!H19:AB19,"Completado")*100)/21)=100,"Completado",IF(INT((COUNTIF('Capa API'!H19:AB19,"Completado")*100)/21)=0,"Pendiente","En Curso")))</f>
        <v>100% - Completado</v>
      </c>
      <c r="E31" s="58" t="str">
        <f>'Capa API'!AC19</f>
        <v>Completado</v>
      </c>
      <c r="F31" s="58" t="str">
        <f>'Capa API'!AD19</f>
        <v>Completado</v>
      </c>
      <c r="G31" s="30" t="str">
        <f>'Capa API'!AE19</f>
        <v>En Curso</v>
      </c>
      <c r="H31" s="65" t="str">
        <f>'Capa API'!AF19</f>
        <v>Pendiente</v>
      </c>
      <c r="I31" s="67" t="s">
        <v>242</v>
      </c>
    </row>
    <row r="32" spans="2:9" ht="21.75" customHeight="1">
      <c r="B32" s="55" t="str">
        <f>'Capa API'!C20</f>
        <v>sur-auth-web-backend</v>
      </c>
      <c r="C32" s="54" t="s">
        <v>31</v>
      </c>
      <c r="D32" s="58" t="str">
        <f>_xlfn.CONCAT(INT((COUNTIF('Capa API'!H20:AB20,"Completado")*100)/21), "% - ", IF(INT((COUNTIF('Capa API'!H20:AB20,"Completado")*100)/21)=100,"Completado",IF(INT((COUNTIF('Capa API'!H20:AB20,"Completado")*100)/21)=0,"Pendiente","En Curso")))</f>
        <v>100% - Completado</v>
      </c>
      <c r="E32" s="58" t="str">
        <f>'Capa API'!AC20</f>
        <v>Completado</v>
      </c>
      <c r="F32" s="58" t="str">
        <f>'Capa API'!AD20</f>
        <v>Completado</v>
      </c>
      <c r="G32" s="30" t="str">
        <f>'Capa API'!AE20</f>
        <v>Completado</v>
      </c>
      <c r="H32" s="65" t="str">
        <f>'Capa API'!AF20</f>
        <v>Pendiente</v>
      </c>
      <c r="I32" s="66" t="s">
        <v>242</v>
      </c>
    </row>
    <row r="33" spans="2:9" ht="21.75" customHeight="1">
      <c r="B33" s="48" t="str">
        <f>'Capa Orquestación'!C5</f>
        <v>sur-auth-mstrace</v>
      </c>
      <c r="C33" s="46" t="s">
        <v>32</v>
      </c>
      <c r="D33" s="58" t="str">
        <f>_xlfn.CONCAT(INT((COUNTIF('Capa Orquestación'!H5:AB5,"Completado")*100)/21), "% - ", IF(INT((COUNTIF('Capa Orquestación'!H5:AB5,"Completado")*100)/21)=100,"Completado",IF(INT((COUNTIF('Capa Orquestación'!H5:AB5,"Completado")*100)/21)=0,"Pendiente","En Curso")))</f>
        <v>100% - Completado</v>
      </c>
      <c r="E33" s="58" t="str">
        <f>'Capa Orquestación'!AC5</f>
        <v>Completado</v>
      </c>
      <c r="F33" s="65" t="str">
        <f>'Capa Orquestación'!AD5</f>
        <v>Pendiente</v>
      </c>
      <c r="G33" s="65" t="str">
        <f>'Capa Orquestación'!AE5</f>
        <v>Pendiente</v>
      </c>
      <c r="H33" s="65" t="str">
        <f>'Capa Orquestación'!AF5</f>
        <v>Pendiente</v>
      </c>
      <c r="I33" s="67" t="s">
        <v>242</v>
      </c>
    </row>
    <row r="34" spans="2:9" ht="21.75" customHeight="1">
      <c r="B34" s="55" t="str">
        <f>'Capa Orquestación'!C6</f>
        <v>sur-auth-sendonb</v>
      </c>
      <c r="C34" s="54" t="s">
        <v>32</v>
      </c>
      <c r="D34" s="58" t="str">
        <f>_xlfn.CONCAT(INT((COUNTIF('Capa Orquestación'!H6:AB6,"Completado")*100)/21), "% - ", IF(INT((COUNTIF('Capa Orquestación'!H6:AB6,"Completado")*100)/21)=100,"Completado",IF(INT((COUNTIF('Capa Orquestación'!H6:AB6,"Completado")*100)/21)=0,"Pendiente","En Curso")))</f>
        <v>100% - Completado</v>
      </c>
      <c r="E34" s="58" t="str">
        <f>'Capa Orquestación'!AC6</f>
        <v>Completado</v>
      </c>
      <c r="F34" s="65" t="str">
        <f>'Capa Orquestación'!AD6</f>
        <v>Pendiente</v>
      </c>
      <c r="G34" s="65" t="str">
        <f>'Capa Orquestación'!AE6</f>
        <v>Pendiente</v>
      </c>
      <c r="H34" s="65" t="str">
        <f>'Capa Orquestación'!AF6</f>
        <v>Pendiente</v>
      </c>
      <c r="I34" s="66" t="s">
        <v>242</v>
      </c>
    </row>
    <row r="35" spans="2:9" ht="21.75" customHeight="1">
      <c r="B35" s="48" t="str">
        <f>'Capa Orquestación'!C7</f>
        <v>sur-auth-rules-evaluation</v>
      </c>
      <c r="C35" s="46" t="s">
        <v>32</v>
      </c>
      <c r="D35" s="58" t="str">
        <f>_xlfn.CONCAT(INT((COUNTIF('Capa Orquestación'!H7:AB7,"Completado")*100)/21), "% - ", IF(INT((COUNTIF('Capa Orquestación'!H7:AB7,"Completado")*100)/21)=100,"Completado",IF(INT((COUNTIF('Capa Orquestación'!H7:AB7,"Completado")*100)/21)=0,"Pendiente","En Curso")))</f>
        <v>100% - Completado</v>
      </c>
      <c r="E35" s="58" t="str">
        <f>'Capa Orquestación'!AC7</f>
        <v>Completado</v>
      </c>
      <c r="F35" s="58" t="s">
        <v>43</v>
      </c>
      <c r="G35" s="30" t="str">
        <f>'Capa Orquestación'!AE7</f>
        <v>Pendiente</v>
      </c>
      <c r="H35" s="65" t="str">
        <f>'Capa Orquestación'!AF7</f>
        <v>Pendiente</v>
      </c>
      <c r="I35" s="67" t="s">
        <v>242</v>
      </c>
    </row>
    <row r="36" spans="2:9" ht="21.75" customHeight="1">
      <c r="B36" s="55" t="str">
        <f>'Capa Orquestación'!C8</f>
        <v>sur-auth-broker-functions</v>
      </c>
      <c r="C36" s="54" t="s">
        <v>32</v>
      </c>
      <c r="D36" s="58" t="str">
        <f>_xlfn.CONCAT(INT((COUNTIF('Capa Orquestación'!H8:AB8,"Completado")*100)/21), "% - ", IF(INT((COUNTIF('Capa Orquestación'!H8:AB8,"Completado")*100)/21)=100,"Completado",IF(INT((COUNTIF('Capa Orquestación'!H8:AB8,"Completado")*100)/21)=0,"Pendiente","En Curso")))</f>
        <v>100% - Completado</v>
      </c>
      <c r="E36" s="58" t="str">
        <f>'Capa Orquestación'!AC8</f>
        <v>Completado</v>
      </c>
      <c r="F36" s="58" t="str">
        <f>'Capa Orquestación'!AD8</f>
        <v>Completado</v>
      </c>
      <c r="G36" s="30" t="str">
        <f>'Capa Orquestación'!AE8</f>
        <v>En Curso</v>
      </c>
      <c r="H36" s="65" t="str">
        <f>'Capa Orquestación'!AF8</f>
        <v>Pendiente</v>
      </c>
      <c r="I36" s="66" t="s">
        <v>242</v>
      </c>
    </row>
    <row r="37" spans="2:9" ht="21.75" customHeight="1">
      <c r="B37" s="48" t="str">
        <f>'Capa Orquestación'!C9</f>
        <v>sur-auth-fn-system-auth-core-code</v>
      </c>
      <c r="C37" s="46" t="s">
        <v>32</v>
      </c>
      <c r="D37" s="58" t="str">
        <f>_xlfn.CONCAT(INT((COUNTIF('Capa Orquestación'!H9:AB9,"Completado")*100)/21), "% - ", IF(INT((COUNTIF('Capa Orquestación'!H9:AB9,"Completado")*100)/21)=100,"Completado",IF(INT((COUNTIF('Capa Orquestación'!H9:AB9,"Completado")*100)/21)=0,"Pendiente","En Curso")))</f>
        <v>100% - Completado</v>
      </c>
      <c r="E37" s="58" t="str">
        <f>'Capa Orquestación'!AC9</f>
        <v>Completado</v>
      </c>
      <c r="F37" s="30" t="str">
        <f>'Capa Orquestación'!AD9</f>
        <v>Completado</v>
      </c>
      <c r="G37" s="65" t="str">
        <f>'Capa Orquestación'!AE9</f>
        <v>Pendiente</v>
      </c>
      <c r="H37" s="65" t="str">
        <f>'Capa Orquestación'!AF9</f>
        <v>Pendiente</v>
      </c>
      <c r="I37" s="67" t="s">
        <v>242</v>
      </c>
    </row>
    <row r="38" spans="2:9" ht="21.75" customHeight="1">
      <c r="B38" s="55" t="str">
        <f>'Capa Orquestación'!C10</f>
        <v>sur-auth-report-workflow</v>
      </c>
      <c r="C38" s="54" t="s">
        <v>32</v>
      </c>
      <c r="D38" s="58" t="str">
        <f>_xlfn.CONCAT(INT((COUNTIF('Capa Orquestación'!H10:AB10,"Completado")*100)/21), "% - ", IF(INT((COUNTIF('Capa Orquestación'!H10:AB10,"Completado")*100)/21)=100,"Completado",IF(INT((COUNTIF('Capa Orquestación'!H10:AB10,"Completado")*100)/21)=0,"Pendiente","En Curso")))</f>
        <v>100% - Completado</v>
      </c>
      <c r="E38" s="58" t="str">
        <f>'Capa Orquestación'!AC10</f>
        <v>Completado</v>
      </c>
      <c r="F38" s="65" t="str">
        <f>'Capa Orquestación'!AD10</f>
        <v>Completado</v>
      </c>
      <c r="G38" s="65" t="str">
        <f>'Capa Orquestación'!AE10</f>
        <v>En Curso</v>
      </c>
      <c r="H38" s="65" t="str">
        <f>'Capa Orquestación'!AF10</f>
        <v>Pendiente</v>
      </c>
      <c r="I38" s="66" t="s">
        <v>242</v>
      </c>
    </row>
    <row r="39" spans="2:9" ht="21.75" customHeight="1">
      <c r="B39" s="48" t="str">
        <f>'Capa Orquestación'!C11</f>
        <v>sur-auth-fn-variables-provider</v>
      </c>
      <c r="C39" s="46" t="s">
        <v>32</v>
      </c>
      <c r="D39" s="58" t="str">
        <f>_xlfn.CONCAT(INT((COUNTIF('Capa Orquestación'!H11:AB11,"Completado")*100)/21), "% - ", IF(INT((COUNTIF('Capa Orquestación'!H11:AB11,"Completado")*100)/21)=100,"Completado",IF(INT((COUNTIF('Capa Orquestación'!H11:AB11,"Completado")*100)/21)=0,"Pendiente","En Curso")))</f>
        <v>100% - Completado</v>
      </c>
      <c r="E39" s="58" t="str">
        <f>'Capa Orquestación'!AC11</f>
        <v>Completado</v>
      </c>
      <c r="F39" s="58" t="str">
        <f>'Capa Orquestación'!AD11</f>
        <v>Completado</v>
      </c>
      <c r="G39" s="30" t="str">
        <f>'Capa Orquestación'!AE11</f>
        <v>En Curso</v>
      </c>
      <c r="H39" s="65" t="str">
        <f>'Capa Orquestación'!AF11</f>
        <v>Pendiente</v>
      </c>
      <c r="I39" s="67" t="s">
        <v>242</v>
      </c>
    </row>
    <row r="40" spans="2:9" ht="18" customHeight="1"/>
    <row r="41" spans="2:9" ht="18" customHeight="1"/>
    <row r="42" spans="2:9" ht="18" customHeight="1"/>
    <row r="43" spans="2:9" ht="18" customHeight="1"/>
    <row r="44" spans="2:9" ht="18" customHeight="1"/>
    <row r="45" spans="2:9" ht="18" customHeight="1"/>
    <row r="46" spans="2:9" ht="18" customHeight="1"/>
    <row r="47" spans="2:9" ht="18" customHeight="1"/>
    <row r="48" spans="2:9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</sheetData>
  <mergeCells count="1">
    <mergeCell ref="B2:H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2026-02-27T22:02:31Z</dcterms:created>
  <dcterms:modified xsi:type="dcterms:W3CDTF">2026-06-02T18:10:39Z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2026-02-27T22:10:46Z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07bfcf60-96b9-4411-8ea9-329258cc997d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10, 0, 1, 2</vt:lpwstr>
  </property>
</Properties>
</file>